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Docs\STRAIPSNIAI\Affordability\WoS_Scopus_2026-02-27\"/>
    </mc:Choice>
  </mc:AlternateContent>
  <xr:revisionPtr revIDLastSave="0" documentId="13_ncr:1_{D864B48F-38E0-47BD-835B-1B1F7976E175}" xr6:coauthVersionLast="47" xr6:coauthVersionMax="47" xr10:uidLastSave="{00000000-0000-0000-0000-000000000000}"/>
  <bookViews>
    <workbookView xWindow="-108" yWindow="-108" windowWidth="23256" windowHeight="13896" activeTab="1" xr2:uid="{00000000-000D-0000-FFFF-FFFF00000000}"/>
  </bookViews>
  <sheets>
    <sheet name="Screening" sheetId="1" r:id="rId1"/>
    <sheet name="Final"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ZpcuSm/nBxveylieUetR1D2m2NY2B1wCDyMbRoE7q9w="/>
    </ext>
  </extLst>
</workbook>
</file>

<file path=xl/calcChain.xml><?xml version="1.0" encoding="utf-8"?>
<calcChain xmlns="http://schemas.openxmlformats.org/spreadsheetml/2006/main">
  <c r="E172" i="1" l="1"/>
  <c r="D172" i="1"/>
  <c r="E171" i="1"/>
  <c r="E170" i="1"/>
  <c r="E169" i="1"/>
  <c r="E168" i="1"/>
  <c r="E167" i="1"/>
  <c r="D168" i="1"/>
  <c r="D169" i="1"/>
  <c r="D170" i="1"/>
  <c r="D171" i="1"/>
  <c r="D167" i="1"/>
  <c r="E166" i="1"/>
  <c r="D166" i="1"/>
  <c r="P97" i="4"/>
  <c r="P96" i="4"/>
  <c r="P73" i="4"/>
  <c r="P68" i="4"/>
  <c r="P67" i="4"/>
  <c r="P63" i="4"/>
  <c r="P58" i="4"/>
  <c r="P57" i="4"/>
  <c r="P49" i="4"/>
  <c r="P31" i="4"/>
  <c r="P15" i="4"/>
  <c r="P7" i="4"/>
  <c r="P2" i="4"/>
  <c r="E158" i="1"/>
  <c r="D158" i="1"/>
  <c r="D116" i="1"/>
  <c r="P154" i="1"/>
  <c r="P155" i="1"/>
  <c r="P156" i="1"/>
  <c r="P157" i="1"/>
  <c r="D159" i="1" l="1"/>
  <c r="E159" i="1"/>
  <c r="E121" i="1"/>
  <c r="D121" i="1"/>
  <c r="E120" i="1"/>
  <c r="D120" i="1"/>
  <c r="E119" i="1"/>
  <c r="D119" i="1"/>
  <c r="E118" i="1"/>
  <c r="D118" i="1"/>
  <c r="E117" i="1"/>
  <c r="D117" i="1"/>
  <c r="E116" i="1"/>
  <c r="P106" i="1"/>
  <c r="P102" i="1"/>
  <c r="P99" i="1"/>
  <c r="P98" i="1"/>
  <c r="P93" i="1"/>
  <c r="P87" i="1"/>
  <c r="P86" i="1"/>
  <c r="P85" i="1"/>
  <c r="P76" i="1"/>
  <c r="P74" i="1"/>
  <c r="P71" i="1"/>
  <c r="P69" i="1"/>
  <c r="P52" i="1"/>
  <c r="P48" i="1"/>
  <c r="P46" i="1"/>
  <c r="P44" i="1"/>
  <c r="P41" i="1"/>
  <c r="P18" i="1"/>
  <c r="P9" i="1"/>
  <c r="P2" i="1"/>
  <c r="D160" i="1" l="1"/>
  <c r="E160" i="1"/>
  <c r="D122" i="1"/>
  <c r="E122" i="1"/>
  <c r="D161" i="1" l="1"/>
  <c r="E161" i="1"/>
  <c r="D162" i="1" l="1"/>
  <c r="E162" i="1"/>
  <c r="D163" i="1" l="1"/>
  <c r="D164" i="1" s="1"/>
  <c r="E163" i="1"/>
  <c r="E16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tc={EFBA52FA-1250-4A5E-AD67-7DFD23269597}</author>
    <author>tc={940F63B8-2127-423B-ADAE-5E0955F870BC}</author>
    <author>tc={C29C0E0A-B44E-4379-A5B0-066CA7FFB806}</author>
    <author>tc={4CF67EB4-C35E-4A29-9BB8-DBEEE8B527BF}</author>
    <author>tc={51ECE9C6-EC37-4FCB-9845-BC94C75B4E9C}</author>
    <author>tc={6C632DF7-30EB-4821-A5C5-DD752FBAD8F2}</author>
    <author>tc={376E5CEB-CC3B-4FD6-81E3-5E8DABEB5A8B}</author>
    <author>tc={F81ADCEF-05E2-4D74-8D9C-9C7341A93D1F}</author>
    <author>tc={DA9167ED-9E5B-4C84-8A63-25C1D2D39587}</author>
    <author>tc={1800799C-6AF5-4A6B-A9CB-CA1EEA11F179}</author>
    <author>tc={DC6C4A50-1960-4D83-B433-3105D2F70F57}</author>
    <author>tc={F3220194-F892-47CC-B06B-897FC7FDB900}</author>
    <author>tc={44C5028E-00E0-42F6-AA9E-04B787BC5394}</author>
    <author>tc={D1D3AF8C-3ED0-4BFC-AA81-8D47271DFD5D}</author>
    <author>tc={F45BE9C7-7DBB-45CB-B4E5-78721DAF96D7}</author>
    <author>tc={338D84B8-E296-44CC-A180-365FBAAFFB97}</author>
  </authors>
  <commentList>
    <comment ref="D2" authorId="0" shapeId="0" xr:uid="{00000000-0006-0000-0000-000014000000}">
      <text>
        <r>
          <rPr>
            <sz val="10"/>
            <color rgb="FF000000"/>
            <rFont val="Helvetica Neue"/>
            <scheme val="minor"/>
          </rPr>
          <t>======
ID#AAABgjFOxg8
Tatjana Vilutienė    (2025-04-04 08:41:00)
Tikrinti topiką</t>
        </r>
      </text>
    </comment>
    <comment ref="D21" authorId="0" shapeId="0" xr:uid="{00000000-0006-0000-0000-000010000000}">
      <text>
        <r>
          <rPr>
            <sz val="10"/>
            <color rgb="FF000000"/>
            <rFont val="Helvetica Neue"/>
            <scheme val="minor"/>
          </rPr>
          <t>======
ID#AAABgph-Bec
Tatjana Vilutiene    (2025-04-15 06:57:47)
Housing price dynamics</t>
        </r>
      </text>
    </comment>
    <comment ref="D22" authorId="0" shapeId="0" xr:uid="{00000000-0006-0000-0000-00000F000000}">
      <text>
        <r>
          <rPr>
            <sz val="10"/>
            <color rgb="FF000000"/>
            <rFont val="Helvetica Neue"/>
            <scheme val="minor"/>
          </rPr>
          <t>======
ID#AAABgph-Beg
Tatjana Vilutiene    (2025-04-15 06:58:37)
household waste management into high-rise, high-density housing</t>
        </r>
      </text>
    </comment>
    <comment ref="D26" authorId="0" shapeId="0" xr:uid="{00000000-0006-0000-0000-00000E000000}">
      <text>
        <r>
          <rPr>
            <sz val="10"/>
            <color rgb="FF000000"/>
            <rFont val="Helvetica Neue"/>
            <scheme val="minor"/>
          </rPr>
          <t>======
ID#AAABgph-Beo
Tatjana Vilutiene    (2025-04-15 07:28:24)
current ecosystem of low-income retrofit programs by expanding existing policy innovations.</t>
        </r>
      </text>
    </comment>
    <comment ref="D29" authorId="0" shapeId="0" xr:uid="{00000000-0006-0000-0000-00000D000000}">
      <text>
        <r>
          <rPr>
            <sz val="10"/>
            <color rgb="FF000000"/>
            <rFont val="Helvetica Neue"/>
            <scheme val="minor"/>
          </rPr>
          <t>======
ID#AAABgpYXDG4
Tatjana Vilutiene    (2025-04-15 07:43:01)
awareness of the importance of saving energy and using renewable energy at home, users’ behaviour and application of (and readiness for) more energy-efficient solutions and obstacles on the way to achieve energy efficiency.</t>
        </r>
      </text>
    </comment>
    <comment ref="D35" authorId="0" shapeId="0" xr:uid="{00000000-0006-0000-0000-00000C000000}">
      <text>
        <r>
          <rPr>
            <sz val="10"/>
            <color rgb="FF000000"/>
            <rFont val="Helvetica Neue"/>
            <scheme val="minor"/>
          </rPr>
          <t>======
ID#AAABiDEPkQg
Tatjana Vilutiene    (2025-04-15 11:33:30)
sustainability of homes, final energy consumption</t>
        </r>
      </text>
    </comment>
    <comment ref="D36" authorId="0" shapeId="0" xr:uid="{00000000-0006-0000-0000-00000B000000}">
      <text>
        <r>
          <rPr>
            <sz val="10"/>
            <color rgb="FF000000"/>
            <rFont val="Helvetica Neue"/>
            <scheme val="minor"/>
          </rPr>
          <t>======
ID#AAABiDEPkQk
Tatjana Vilutiene    (2025-04-15 11:35:56)
inequality in subjective well-being (SWB)</t>
        </r>
      </text>
    </comment>
    <comment ref="D52" authorId="0" shapeId="0" xr:uid="{00000000-0006-0000-0000-00000A000000}">
      <text>
        <r>
          <rPr>
            <sz val="10"/>
            <color rgb="FF000000"/>
            <rFont val="Helvetica Neue"/>
            <scheme val="minor"/>
          </rPr>
          <t>======
ID#AAABiDGnjc4
Tatjana Vilutiene    (2025-04-15 12:42:30)
This paper examines the savings outcomes of IDA participants saving for a home in the American Dream Policy Demonstration</t>
        </r>
      </text>
    </comment>
    <comment ref="E57" authorId="0" shapeId="0" xr:uid="{00000000-0006-0000-0000-000009000000}">
      <text>
        <r>
          <rPr>
            <sz val="10"/>
            <color rgb="FF000000"/>
            <rFont val="Helvetica Neue"/>
            <scheme val="minor"/>
          </rPr>
          <t>======
ID#AAABgqA6hO0
Tatjana Vilutiene    (2025-04-18 06:05:17)
Tai knyga</t>
        </r>
      </text>
    </comment>
    <comment ref="D58" authorId="0" shapeId="0" xr:uid="{00000000-0006-0000-0000-000011000000}">
      <text>
        <r>
          <rPr>
            <sz val="10"/>
            <color rgb="FF000000"/>
            <rFont val="Helvetica Neue"/>
            <scheme val="minor"/>
          </rPr>
          <t>======
ID#AAABhxph3D0
Viktorija MiVi    (2025-04-14 19:43:15)
Tai yra knyga: https://openknowledge.worldbank.org/server/api/core/bitstreams/c9e15ebf-295b-4c25-9bd7-7672767ceeff/content</t>
        </r>
      </text>
    </comment>
    <comment ref="E60" authorId="0" shapeId="0" xr:uid="{00000000-0006-0000-0000-000007000000}">
      <text>
        <r>
          <rPr>
            <sz val="10"/>
            <color rgb="FF000000"/>
            <rFont val="Helvetica Neue"/>
            <scheme val="minor"/>
          </rPr>
          <t>======
ID#AAABjMIFnaU
Tatjana Vilutiene    (2025-05-08 19:01:21)
Community land trusts (CLTs), affordable land market</t>
        </r>
      </text>
    </comment>
    <comment ref="E61" authorId="0" shapeId="0" xr:uid="{00000000-0006-0000-0000-000006000000}">
      <text>
        <r>
          <rPr>
            <sz val="10"/>
            <color rgb="FF000000"/>
            <rFont val="Helvetica Neue"/>
            <scheme val="minor"/>
          </rPr>
          <t>======
ID#AAABjMIFnaY
Tatjana Vilutiene    (2025-05-08 19:11:06)
low-cost private rental housing</t>
        </r>
      </text>
    </comment>
    <comment ref="E62" authorId="0" shapeId="0" xr:uid="{00000000-0006-0000-0000-000005000000}">
      <text>
        <r>
          <rPr>
            <sz val="10"/>
            <color rgb="FF000000"/>
            <rFont val="Helvetica Neue"/>
            <scheme val="minor"/>
          </rPr>
          <t>======
ID#AAABjMIFnac
Tatjana Vilutiene    (2025-05-08 19:14:07)
racial disparities in rental discounts</t>
        </r>
      </text>
    </comment>
    <comment ref="D65" authorId="0" shapeId="0" xr:uid="{00000000-0006-0000-0000-000008000000}">
      <text>
        <r>
          <rPr>
            <sz val="10"/>
            <color rgb="FF000000"/>
            <rFont val="Helvetica Neue"/>
            <scheme val="minor"/>
          </rPr>
          <t>======
ID#AAABgqA6hO4
Tatjana Vilutiene    (2025-04-18 07:26:15)
Eligibility criteria 3)</t>
        </r>
      </text>
    </comment>
    <comment ref="D66" authorId="0" shapeId="0" xr:uid="{00000000-0006-0000-0000-000012000000}">
      <text>
        <r>
          <rPr>
            <sz val="10"/>
            <color rgb="FF000000"/>
            <rFont val="Helvetica Neue"/>
            <scheme val="minor"/>
          </rPr>
          <t>======
ID#AAABhnvLhGM
Viktorija MiVi    (2025-04-11 16:41:20)
Includes policies</t>
        </r>
      </text>
    </comment>
    <comment ref="E67" authorId="0" shapeId="0" xr:uid="{00000000-0006-0000-0000-000004000000}">
      <text>
        <r>
          <rPr>
            <sz val="10"/>
            <color rgb="FF000000"/>
            <rFont val="Helvetica Neue"/>
            <scheme val="minor"/>
          </rPr>
          <t>======
ID#AAABjMIFnbA
Tatjana Vilutiene    (2025-05-08 20:43:12)
Analizuoja Sustainability Charter veiklas. Be to, tai ne žurnalinis straipsnis, Book Chapter</t>
        </r>
      </text>
    </comment>
    <comment ref="D68" authorId="0" shapeId="0" xr:uid="{00000000-0006-0000-0000-000013000000}">
      <text>
        <r>
          <rPr>
            <sz val="10"/>
            <color rgb="FF000000"/>
            <rFont val="Helvetica Neue"/>
            <scheme val="minor"/>
          </rPr>
          <t>======
ID#AAABhnvLhGI
Viktorija MiVi    (2025-04-11 16:23:12)
Certain programs are analyzed in terms of their effectiveness in fostering partnerships that enhance the supply of affordable housing. The report highlights how these collaborative models aim to increase affordable housing options through innovative funding mechanisms and policy frameworks.</t>
        </r>
      </text>
    </comment>
    <comment ref="D87" authorId="0" shapeId="0" xr:uid="{00000000-0006-0000-0000-000001000000}">
      <text>
        <r>
          <rPr>
            <sz val="10"/>
            <color rgb="FF000000"/>
            <rFont val="Helvetica Neue"/>
            <scheme val="minor"/>
          </rPr>
          <t xml:space="preserve">
======
ID#AAABhnvLhF4
Viktorija MiVi    (2025-04-11 14:44:50)
Policy</t>
        </r>
      </text>
    </comment>
    <comment ref="E92" authorId="0" shapeId="0" xr:uid="{00000000-0006-0000-0000-000003000000}">
      <text>
        <r>
          <rPr>
            <sz val="10"/>
            <color rgb="FF000000"/>
            <rFont val="Helvetica Neue"/>
            <scheme val="minor"/>
          </rPr>
          <t>======
ID#AAABjMIFnbE
Tatjana Vilutiene    (2025-05-08 21:10:06)
gentrification</t>
        </r>
      </text>
    </comment>
    <comment ref="E110" authorId="0" shapeId="0" xr:uid="{00000000-0006-0000-0000-000002000000}">
      <text>
        <r>
          <rPr>
            <sz val="10"/>
            <color rgb="FF000000"/>
            <rFont val="Helvetica Neue"/>
            <scheme val="minor"/>
          </rPr>
          <t>======
ID#AAABjMIFnbI
Tatjana Vilutiene    (2025-05-08 21:23:29)
the effect of Airbnb on rents and housing prices</t>
        </r>
      </text>
    </comment>
    <comment ref="D128" authorId="1" shapeId="0" xr:uid="{EFBA52FA-1250-4A5E-AD67-7DFD23269597}">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affordability of land services</t>
        </r>
      </text>
    </comment>
    <comment ref="E128" authorId="2" shapeId="0" xr:uid="{940F63B8-2127-423B-ADAE-5E0955F870BC}">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affordability of land services</t>
        </r>
      </text>
    </comment>
    <comment ref="D130" authorId="3" shapeId="0" xr:uid="{C29C0E0A-B44E-4379-A5B0-066CA7FFB806}">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media influence on housing mortgage</t>
        </r>
      </text>
    </comment>
    <comment ref="D131" authorId="4" shapeId="0" xr:uid="{4CF67EB4-C35E-4A29-9BB8-DBEEE8B527BF}">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land use planning</t>
        </r>
      </text>
    </comment>
    <comment ref="D132" authorId="5" shapeId="0" xr:uid="{51ECE9C6-EC37-4FCB-9845-BC94C75B4E9C}">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Remote-work intensity associated with urban house prices. Poveikis būsto prieinamumui (Affordability) minimas tik kaip šalutinis efektas</t>
        </r>
      </text>
    </comment>
    <comment ref="D135" authorId="6" shapeId="0" xr:uid="{6C632DF7-30EB-4821-A5C5-DD752FBAD8F2}">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Sustainable incremental housing model - neaišku, peržiūrėti straipsnį</t>
        </r>
      </text>
    </comment>
    <comment ref="D136" authorId="7" shapeId="0" xr:uid="{376E5CEB-CC3B-4FD6-81E3-5E8DABEB5A8B}">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Pagrindinė tema - duomenų tipai, affordability - tarp nagrinėtų sričių</t>
        </r>
      </text>
    </comment>
    <comment ref="D139" authorId="8" shapeId="0" xr:uid="{F81ADCEF-05E2-4D74-8D9C-9C7341A93D1F}">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Accurate forecasting of real estate markets has significant social implications, as it influences housing affordability</t>
        </r>
      </text>
    </comment>
    <comment ref="E146" authorId="9" shapeId="0" xr:uid="{DA9167ED-9E5B-4C84-8A63-25C1D2D39587}">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sustainable housing</t>
        </r>
      </text>
    </comment>
    <comment ref="E147" authorId="10" shapeId="0" xr:uid="{1800799C-6AF5-4A6B-A9CB-CA1EEA11F179}">
      <text>
        <r>
          <rPr>
            <sz val="10"/>
            <color rgb="FF000000"/>
            <rFont val="Helvetica Neue"/>
            <scheme val="minor"/>
          </rPr>
          <t xml:space="preserve">[Threaded comment]
Your version of Excel allows you to read this threaded comment; however, any edits to it will get removed if the file is opened in a newer version of Excel. Learn more: https://go.microsoft.com/fwlink/?linkid=870924
Comment:
    Vehicle-to-Home (V2H) technology </t>
        </r>
      </text>
    </comment>
    <comment ref="E149" authorId="11" shapeId="0" xr:uid="{DC6C4A50-1960-4D83-B433-3105D2F70F57}">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sesmic risks</t>
        </r>
      </text>
    </comment>
    <comment ref="E150" authorId="12" shapeId="0" xr:uid="{F3220194-F892-47CC-B06B-897FC7FDB900}">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remote work</t>
        </r>
      </text>
    </comment>
    <comment ref="E151" authorId="13" shapeId="0" xr:uid="{44C5028E-00E0-42F6-AA9E-04B787BC5394}">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housing affordability in entrepreneurial cities, gentrification</t>
        </r>
      </text>
    </comment>
    <comment ref="E152" authorId="14" shapeId="0" xr:uid="{D1D3AF8C-3ED0-4BFC-AA81-8D47271DFD5D}">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technologies for transitional shelters for internal migrants</t>
        </r>
      </text>
    </comment>
    <comment ref="E156" authorId="15" shapeId="0" xr:uid="{F45BE9C7-7DBB-45CB-B4E5-78721DAF96D7}">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scalable hosing solutions in climate-vulnerable locations</t>
        </r>
      </text>
    </comment>
    <comment ref="E157" authorId="16" shapeId="0" xr:uid="{338D84B8-E296-44CC-A180-365FBAAFFB97}">
      <text>
        <r>
          <rPr>
            <sz val="10"/>
            <color rgb="FF000000"/>
            <rFont val="Helvetica Neue"/>
            <scheme val="minor"/>
          </rPr>
          <t>[Threaded comment]
Your version of Excel allows you to read this threaded comment; however, any edits to it will get removed if the file is opened in a newer version of Excel. Learn more: https://go.microsoft.com/fwlink/?linkid=870924
Comment:
    scalable hosing solutions in climate-vulnerable locations</t>
        </r>
      </text>
    </comment>
  </commentList>
  <extLst>
    <ext xmlns:r="http://schemas.openxmlformats.org/officeDocument/2006/relationships" uri="GoogleSheetsCustomDataVersion2">
      <go:sheetsCustomData xmlns:go="http://customooxmlschemas.google.com/" r:id="rId1" roundtripDataSignature="AMtx7mgYStqG5otR0TpNhJFrpUfnFlvzRA=="/>
    </ext>
  </extLst>
</comments>
</file>

<file path=xl/sharedStrings.xml><?xml version="1.0" encoding="utf-8"?>
<sst xmlns="http://schemas.openxmlformats.org/spreadsheetml/2006/main" count="4263" uniqueCount="1662">
  <si>
    <t>Authors</t>
  </si>
  <si>
    <t>Author full names</t>
  </si>
  <si>
    <t>Title</t>
  </si>
  <si>
    <t>IC/EC (1 round)</t>
  </si>
  <si>
    <t>IC/EC (2 round)</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</si>
  <si>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</si>
  <si>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</si>
  <si>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</si>
  <si>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</si>
  <si>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</si>
  <si>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</si>
  <si>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</si>
  <si>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</si>
  <si>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</si>
  <si>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</si>
  <si>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</si>
  <si>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</si>
  <si>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</si>
  <si>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</si>
  <si>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</si>
  <si>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</si>
  <si>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Publisher</t>
  </si>
  <si>
    <t>Language of Original Document</t>
  </si>
  <si>
    <t>Abbreviated Source Title</t>
  </si>
  <si>
    <t>Document Type</t>
  </si>
  <si>
    <t>Madsen J.B.</t>
  </si>
  <si>
    <t>Madsen, Jakob B.</t>
  </si>
  <si>
    <t>A behavioral model of house prices</t>
  </si>
  <si>
    <t>IC1 - IC6</t>
  </si>
  <si>
    <t>JOURNAL OF ECONOMIC BEHAVIOR &amp; ORGANIZATION</t>
  </si>
  <si>
    <t/>
  </si>
  <si>
    <t>10.1016/j.jebo.2011.12.010</t>
  </si>
  <si>
    <t>Monash University</t>
  </si>
  <si>
    <t>Madsen J. B., Monash Univ, Dept Econ, Caulfield, Vic 3145, Australia</t>
  </si>
  <si>
    <t>This paper proposes a model in which house prices are determined by economy-wide nominal income and nominal mortgage payments in the short run, while being determined by acquisition costs in the long run. The model, to a large extent, explains the 1995-2007 housing market run-up in the OECD countries by lower mortgage repayments, decreasing nominal interest rates, and increasing nominal GDP, partly induced by a large inflow of migrants. Empirical estimates give strong support for the model and suggest that it explains house prices in the OECD better than alternative models. (C) 2012 Elsevier B.V. All rights reserved.</t>
  </si>
  <si>
    <t>Behavior of house prices; Institutions; Affordability; Financial innovations; Tobin's q</t>
  </si>
  <si>
    <t>CREDIT; MARKET; POLICY; AFFORDABILITY; CONSTRAINTS; INFLATION; BUBBLES; INCOME</t>
  </si>
  <si>
    <t>ELSEVIER SCIENCE BV</t>
  </si>
  <si>
    <t>English</t>
  </si>
  <si>
    <t>J. Econ. Behav. Organ.</t>
  </si>
  <si>
    <t>Article</t>
  </si>
  <si>
    <t>Luk J.W.K.; Chan T.-H.</t>
  </si>
  <si>
    <t>Luk, John W K. (59184672700); Chan, Tze-Haw (56949694700)</t>
  </si>
  <si>
    <t>A comparison of the housing policies of Hong Kong and Singapore with a pragmatic and fast relief proposal for Hong Kong's housing problems</t>
  </si>
  <si>
    <t>HKIE TRANSACTIONS HONG KONG INSTITUTION OF ENGINEERS</t>
  </si>
  <si>
    <t>10.33430/V31N1THIE-2023-0042</t>
  </si>
  <si>
    <r>
      <rPr>
        <u/>
        <sz val="10"/>
        <color rgb="FF000000"/>
        <rFont val="Helvetica Neue"/>
      </rPr>
      <t>https://www.scopus.com/inward/record.uri?eid=2-s2.0-85196748938&amp;doi=10.33430%2fV31N1THIE-2023-0042&amp;partnerID=40&amp;md5=a88a537b2ff612f7a50e9d9a67057c94</t>
    </r>
  </si>
  <si>
    <t>Graduate School of Business (GSB), Universiti Sains Malaysia, Malaysia</t>
  </si>
  <si>
    <t>Luk J.W.K., Graduate School of Business (GSB), Universiti Sains Malaysia, Malaysia; Chan T.-H., Graduate School of Business (GSB), Universiti Sains Malaysia, Malaysia</t>
  </si>
  <si>
    <t>Hong Kong has grappled with a longstanding and severe housing problem, prompting this study to explore potential solutions. By comparing the housing policies of Hong Kong and Singapore, the research aims to identify lessons that Hong Kong can learn from Singapore's approach to alleviate its housing challenges. The study reveals that major political, social, financial, and legal differences exist between the two cities, making direct policy replication challenging or even impossible. Nevertheless, it underscores the importance of government policy in addressing the complex and multi-faceted housing problem. To offer a pragmatic and swift relief proposal, the study proposes leveraging structural and building engineering expertise to innovate in constructing mega tall residential buildings. A preliminary feasibility design employing the Theory of Elasticity showcases the viability of this proposal. The research contributes valuable insights into resolving Hong Kong's housing crisis and offers a tangible approach for immediate relief. © 2024 The Hong Kong Institution of Engineers.</t>
  </si>
  <si>
    <t>affordability; cost-effective; Hong Kong and Singapore housing policies; mega tall building; quick and pragmatic relief</t>
  </si>
  <si>
    <t>HONG KONG INSTITUTION OF ENGINEERS</t>
  </si>
  <si>
    <t>Hong Kong Inst Eng Trans</t>
  </si>
  <si>
    <t>Moges Tareke K.; Abraha Baraki G.</t>
  </si>
  <si>
    <t>Moges Tareke, Kassa (58020061100); Abraha Baraki, Goitom (59469682300)</t>
  </si>
  <si>
    <t>Affordability and accessibility of condominium housing in urban Ethiopia using a combined transportation and housing cost (CHT) index model: implication for sustainable urban infrastructure, policy and development</t>
  </si>
  <si>
    <t>INTERNATIONAL JOURNAL OF URBAN SUSTAINABLE DEVELOPMENT</t>
  </si>
  <si>
    <t>10.1080/19463138.2024.2429393</t>
  </si>
  <si>
    <r>
      <rPr>
        <u/>
        <sz val="10"/>
        <color rgb="FF000000"/>
        <rFont val="Helvetica Neue"/>
      </rPr>
      <t>https://www.scopus.com/inward/record.uri?eid=2-s2.0-85211769479&amp;doi=10.1080%2f19463138.2024.2429393&amp;partnerID=40&amp;md5=215dcc3ec2dfb51b0112f8632075f144</t>
    </r>
  </si>
  <si>
    <t>College of Urban Planning and Engineering, Department of Transport Planning and Management, Ethiopian Civil Service University, Addis Ababa, Ethiopia; College of Urban Planning and Engineering, Department of Housing and Real-Estate Property Management, Ethiopian Civil Service University, Addis Ababa, Ethiopia</t>
  </si>
  <si>
    <t>Moges Tareke K., College of Urban Planning and Engineering, Department of Transport Planning and Management, Ethiopian Civil Service University, Addis Ababa, Ethiopia; Abraha Baraki G., College of Urban Planning and Engineering, Department of Housing and Real-Estate Property Management, Ethiopian Civil Service University, Addis Ababa, Ethiopia</t>
  </si>
  <si>
    <t>Condominium housing is a critical housing option, but its affordability measures continue to be debatable. This study examined the mutual effect of housing &amp; transportation monthly expenses on housing location affordability and accessibility, considering three comparable locations- inner-city, intermediate, and outer-city condominium locations in Addis Ababa, Ethiopia. 1152 condominium residents were surveyed to assess urban housing location affordability using the combined H+T affordability index, GIS, one-way ANOVA, and Logit model. Housing affordability is diversified in the city, distance to CBD &amp; transport are significant factor. Outer-city and intermediate neighbourhoods are unaffordable &amp; inaccessible, with 55% and 48% index, respectively. Outer-city residents and lower-incomers face higher financial burdens. Nevertheless, inner-city is affordable &amp; accessible, and residents enjoy better proximity to services. It contributes insights to enhance literature and debates on the model. H+T index provides up-to-date understanding and informs policymaking for innovative, smart, and sustainable, location-sensitive, integrated, and pro-poor policies. © 2024 The Author(s). Published by Informa UK Limited, trading as Taylor &amp; Francis Group.</t>
  </si>
  <si>
    <t>condominiums; Housing location affordability and accessibility analysis; sustainable city; urban housing; urban planning and policy; urban transportation; urbanization</t>
  </si>
  <si>
    <t>ADDIS ABABA; ETHIOPIA; GIS; HOUSING FINANCE; HOUSING POLICY; LOGIT ANALYSIS; RESIDENTIAL DEVELOPMENT; RESIDENTIAL LOCATION; URBAN HOUSING; URBAN TRANSPORT</t>
  </si>
  <si>
    <t>TAYLOR AND FRANCIS LTD.</t>
  </si>
  <si>
    <t>Int. J. Urban Sustainable Dev.</t>
  </si>
  <si>
    <t>Kabali H.P.</t>
  </si>
  <si>
    <t>Kabali, Hema Priya</t>
  </si>
  <si>
    <t>Affordable Housing Through Cooperative Urbanism Shared Amsterdam | Affordable Housing through Cooperative Urbanism</t>
  </si>
  <si>
    <t>EC2; EC4</t>
  </si>
  <si>
    <t>EC2</t>
  </si>
  <si>
    <t>PROCEEDINGS OF THE 51ST ISOCARP CONGRESS</t>
  </si>
  <si>
    <t>Kabali H. P., IDE, Dhaka, Bangladesh</t>
  </si>
  <si>
    <t>Dutch housing organizations ensure that more than 2.4 million households have access to adequate and affordable housing aimed at improving the quality of life for the low and middle-income communities. While the proportion of affordable housing has continued to remain a national priority in the Netherlands and is the highest in Europe, the owner occupancy rate is still below the set European standards due to the absence of middle-income dwellings for rent, home-ownership or cooperative housing, unoccupied surplus accumulation by housing associations and unaffordability of social dwellings. Given the current trends in urbanization, McKinsey Global Institute (2014) contends that the affordable housing gap would increase form 330 million urban households to 440 million affecting 1.6 billion people who cannot secure a minimum acceptable housing unit for 30 percent of their annual income leading to an increase in affordability gap (the difference in amount between the income affordable for a housing unit by the low income groups and the actual development cost of the housing unit) and substandard living conditions. Due to growing shortage based on migration and income trends, McKinsey and Company (2014) contends that by 2025 households will either be 'financially stretched by housing costs' or be living in 'crowded, inadequate and unsafe housing.' This paper has two principal objectives. Firstly, it explores the key regional trends in housing policies affecting affordability with a particular emphasis on housing type, tenure, target groups, providers and financing structures embedded in four social housing contexts-Austria, France, Germany and The Netherlands. In doing so, it analyzes affordability challenges and access to improved social housing across the countries to position the proposed urban concept of 'Cooperative Urbanism'. After that, the four cost reduction levers as proposed by McKinsey and Company (2014) to the global affordable housing challenge are applied to connect policy level implications to strategic urban planning initiatives. Secondly, this paper explores cooperative urbanism whereby through the lens of critical urban theory (Brenner, N. 2009) it proposes shared participation deploying collaborative city gaming and design thinking as innovative methods to generate strategic urban planning and design instruments that tackle the provision of affordable housing challenge in Amsterdam. To that end, the strategies formulated enhance and support differentiated housing supply and demand driven programming to leverage mainstream participation that is empowering to all, particularly to the lower income groups incentivizing citizens as collaborators, facilitators and managers to negotiate and empower others as agents of change. The paper further recommends to explore and test cooperative urbanism as future research to underpin and analyze local participation deploying new spatial paradigms to contribute in rethinking planning and policy initiatives in achieving affordable housing solutions under rapid urban, social and economic transformations.</t>
  </si>
  <si>
    <t>Affordable Housing; Cooperative Urbanism; Participation; Collaboration; Social Housing</t>
  </si>
  <si>
    <t>ISOCARP</t>
  </si>
  <si>
    <t>Proceedings Paper</t>
  </si>
  <si>
    <t>Bridge C.; Davy L.; Judd B.; Flatau P.; Morris A.; Phibbs P.</t>
  </si>
  <si>
    <t>Bridge, Catherine (37664341800); Davy, Laura (56039706100); Judd, Bruce (14052219400); Flatau, Paul (7003468745); Morris, Alan (57196263023); Phibbs, Peter (7003460041)</t>
  </si>
  <si>
    <t>Age-specific housing and care for low to moderate income older people</t>
  </si>
  <si>
    <t>AHURI FINAL REPORT</t>
  </si>
  <si>
    <r>
      <rPr>
        <u/>
        <sz val="10"/>
        <color rgb="FF000000"/>
        <rFont val="Helvetica Neue"/>
      </rPr>
      <t>https://www.scopus.com/inward/record.uri?eid=2-s2.0-84907532751&amp;partnerID=40&amp;md5=42bc9c2c04d2e8a68d5704d628551d92</t>
    </r>
  </si>
  <si>
    <t>University of New South Wales, Australia; University of Western Australia, Australia; University of Western Sydney, Australia</t>
  </si>
  <si>
    <t>Bridge C., University of New South Wales, Australia; Davy L., University of New South Wales, Australia; Judd B., University of New South Wales, Australia; Flatau P., University of Western Australia, Australia; Morris A., University of New South Wales, Australia; Phibbs P., University of Western Sydney, Australia</t>
  </si>
  <si>
    <t>Aims and questions This report presents the final findings of a national, interdisciplinary research project into age-specific housing for lower-income older Australians. The key research aim addressed in this report is to assess Australia's current age-specific housing market and its potential growth among low to moderate income older people, in order to develop effective policy strategies for the provision of age-specific housing for this disadvantaged group. This project examines the increasing demand for age-appropriate and affordable housing that can adequately encompass the care needs of older people with low to moderate incomes, the housing types and options currently available to lower-income older people, and future trends and policy strategies that may emerge in answer to this demand. The research questions that direct this project are as follows: A. What is the nature of the age-specific housing market in Australia at present? A1. What is the range of age-specific housing and care options currently available within the housing market in Australia? A2. What are the financial models associated with the various age-specific housing and care options? A3. What is the likely size of the market at present and in future decades? A4. What are the demographic characteristics of older consumers and to what extent are these variations significant in terms of housing, location, income and care types? B. What factors have influenced the provision of particular types of age-specific housing products? B1. What makes age-specific housing options attractive/unattractive to older persons/providers? B2. How do the financial models associated with the various options facilitate or constrain choice among low to moderate income older people? B3. To what extent do the current legislative and policy frameworks hinder or support the range of age-specific housing options currently available? C. What factors are shaping the market growth of particular types of age-specific housing? C1. Should policies and regulations be modified to create more suitable age-specific housing options and, if so, what changes should be made? C2. What impact would these changes have over time? Background The need for some form of care and assistance increases markedly as people move into older age cohorts, particularly for those aged 85 years and over (Productivity Commission 2008). This has necessitated the development of housing models targeted specifically towards older people and their particular housing and care requirements. However, older people without savings and with minimal or no superannuation earnings have minimal capacity to cover any increase in housing and living costs that may arise from a move to more age-appropriate housing, particularly if they are not homeowners (Morris 2007, 2009 and affordability thus becomes a key issue. The provision of aged care involves many different organisations, governance arrangements, funding instruments, accommodation types and providers, and the costs associated with service provision are highly variable (Productivity Commission 2008). While the number of age-specific housing providers around Australia has increased steadily over recent decades, particularly in the retirement village sector and 'Over 55's community' models, the legislative and policy framework for government interaction and regulation of these housing types is undeveloped and fragmented, and the research evidence base to underpin policy development is sparse. Methodology This research project was divided into five methodological stages: Stage 1: a literature review and policy review of the Australian age-specific housing market. Stage 2: a quantitative profile of the housing market and its consumers. Stage 3: a questionnaire survey of age-specific housing providers and older residents of age-specific housing. Stage 4: 107 qualitative interviews with older people in age-specific housing, housing providers, and key policy stakeholders. Stage 5: public engagement via a public forum and the publishing of at least one peer reviewed academic article relating to this research. Trend analysis This analysis of trends from the Australian Bureau of Statistics (ABS) Census demonstrates the dramatic ageing of the Australian population in the first half of the 21st century, and particularly over the next 20 years (2011-31) as the baby boomer cohort ages. This is likely to be accompanied by a steady decline in outright home ownership, dramatic increase in owner-purchasers, and increasing polarity between higher and lower-income older Australians. This will potentially impact on the demand for more affordable housing options, including the kind of low to moderate income age-specific developments addressed in this report, as older Australians seek to down-price to discharge mortgages and thereby reduce housing costs. Provider perspectives The perspectives of providers of age-specific housing were garnered via an online survey and semi-structured interviews with selected providers of key housing types. Age-specific housing providers are extremely diverse in terms of their scale and focus, their motivation, i.e. for-profit and not-for-profit, and their attitude and approach to care service provision. A number of other key issues emerged, such as: Much of the current supply of age-specific housing is quite old and not particularly suitable for older consumers. The sector experiences the normal frustrations of developers who have to navigate the planning system and communities resistant to change. The regulatory system is complex, and while regulation is needed to protect consumers, inappropriate regulation may both reduce the ability of the sector to innovate as well as discourage potential providers. Many not-for-profit providers are pursuing a strategy of letting their market initiatives subsidise their initiatives for lower-income households. There is considerable activity in the rental market with some targeting of lower-income households but demand in this area is also considerable and providers are struggling to keep up. Residents perspectives Residents were surveyed using an online and paper-based questionnaire, and in depth semi structured interviews were conducted. The survey highlighted the great range of housing and dwelling types available in the age-specific housing sector and the vast differences that exist between them, particularly the differences between the market and subsidised accommodation. It revealed that many residents experienced considerable difficulty in finding appropriate housing, particularly when they required subsidised housing or when they lived in a regional location. Many survey respondents raised concerns with the level of maintenance in some stock, highlighting the large variation in the quality of age specific housing and the varying age of the stock. It also emerged respondents actively sought out age-friendly design features, such as hob free showers. Large numbers of survey respondents had entered market-based housing after sale of the family home. However, with declining rates of homeownership, this situation is likely to change significantly in the future. Targeted interviews with residents of age-specific housing indicated that declining health and a desire for a supportive and secure environment with less physical demands were major reasons for moving to age-specific housing. High quality age-specific housing that included a component of care services was in high demand from consumers. Many residents reported long waiting lists for appropriate housing. Financially, older people who had been homeowners before transitioning to age-specific housing had greater choice and were better able to afford higher cost housing options such as retirement village accommodation. Older people with a lower income and asset level often had restricted options in age-specific housing, particularly those who had a history of marginal and insecure housing. The provision of care services was highly variable between housing types.</t>
  </si>
  <si>
    <t>Age; Care; Housing; Income; Low; Moderate; Older; People</t>
  </si>
  <si>
    <t>AUSTRALIAN HOUSING AND URBAN RESEARCH INSTITUTE</t>
  </si>
  <si>
    <t>AHURI Final Rep.</t>
  </si>
  <si>
    <t>Hu M.; Lin Z.; Liu Y.</t>
  </si>
  <si>
    <t>Hu, Mingzhi (57200227185); Lin, Zhenguo (8883185700); Liu, Yingchun (7410217698)</t>
  </si>
  <si>
    <t>Amenities, Housing Affordability, and Education Elites</t>
  </si>
  <si>
    <t>JOURNAL OF REAL ESTATE FINANCE AND ECONOMICS</t>
  </si>
  <si>
    <t>10.1007/s11146-022-09896-y</t>
  </si>
  <si>
    <r>
      <rPr>
        <u/>
        <sz val="10"/>
        <color rgb="FF000000"/>
        <rFont val="Helvetica Neue"/>
      </rPr>
      <t>https://www.scopus.com/inward/record.uri?eid=2-s2.0-85127295409&amp;doi=10.1007%2fs11146-022-09896-y&amp;partnerID=40&amp;md5=94df65ae36a354ab818ace0b989825df</t>
    </r>
  </si>
  <si>
    <t>School of Management, Chinese Academy of Housing and Real Estate, Zhejiang University of Technology, Hangzhou, China; Hollo School of Real Estate, College of Business, Florida International University, FL, United States; Department of Finance, Insurance, Real Estate and Law, G. Brint Ryan College of Business, University of North Texas, TX, United States</t>
  </si>
  <si>
    <t>Hu M., School of Management, Chinese Academy of Housing and Real Estate, Zhejiang University of Technology, Hangzhou, China; Lin Z., Hollo School of Real Estate, College of Business, Florida International University, FL, United States; Liu Y., Department of Finance, Insurance, Real Estate and Law, G. Brint Ryan College of Business, University of North Texas, TX, United States</t>
  </si>
  <si>
    <t>Education Elites (i.e., higher-educated people) with new ideas and technologies are widely acknowledged to be a source of innovation and the engine of regional economic growth. A city that can attract higher-educated people will ultimately become the winner of future. This paper examines whether city amenities attract higher-educated people. Using three different datasets from China, we find that people with college degree or above are much more likely to choose the best amenity cites, which in fact results in 68.4% increase in the concentration of these higher-educated people. In addition, we find that people with master degree or above education can enjoy 45.61 percent income premium in the best amenity cities, and people with four-year college education can also enjoy 30.68 percent income premium. Furthermore, we find that these higher-educated people have much higher satisfaction on income and job promotion opportunity. However, with prices soaring in the best amenity cities, housing becomes increasingly unaffordable. In fact, we find strong evidence that the attractiveness of the best amenity cities has declined over time. This finding suggests that policies that curb the rapid increase in housing prices in the best amenity cities are necessary for local governments in order for their cities continuing to be the winner of future. © 2022, The Author(s), under exclusive licence to Springer Science+Business Media, LLC, part of Springer Nature.</t>
  </si>
  <si>
    <t>Amenities; Higher-educated; Income premium; Job satisfaction</t>
  </si>
  <si>
    <t>SPRINGER</t>
  </si>
  <si>
    <t>J. Real Estate Financ. Econ.</t>
  </si>
  <si>
    <t>Liu S.; Zhang Z.</t>
  </si>
  <si>
    <t>Liu, Shufeng (56099534200); Zhang, Zhaoyu (55954046000)</t>
  </si>
  <si>
    <t>Analysis of balance between supply and demand in indemnificatory housing based on housing affordability</t>
  </si>
  <si>
    <t>ICCREM 2013: CONSTRUCTION AND OPERATION IN THE CONTEXT OF SUSTAINABILITY - PROCEEDINGS OF THE 2013 INTERNATIONAL CONFERENCE ON CONSTRUCTION AND REAL ESTATE MANAGEMENT</t>
  </si>
  <si>
    <t>10.1061/9780784413135.115</t>
  </si>
  <si>
    <r>
      <rPr>
        <u/>
        <sz val="10"/>
        <color rgb="FF000000"/>
        <rFont val="Helvetica Neue"/>
      </rPr>
      <t>https://www.scopus.com/inward/record.uri?eid=2-s2.0-84889574573&amp;doi=10.1061%2f9780784413135.115&amp;partnerID=40&amp;md5=40d189de9a81b79932d3f746161f2725</t>
    </r>
  </si>
  <si>
    <t>School of Economics, Xi'An University of Financial and Economics, Xi'an, 710100, China</t>
  </si>
  <si>
    <t>Liu S., School of Economics, Xi'An University of Financial and Economics, Xi'an, 710100, China; Zhang Z., School of Economics, Xi'An University of Financial and Economics, Xi'an, 710100, China</t>
  </si>
  <si>
    <t>Solving the housing problems of urban low-income groups and households with housing difficulties is an important measure to construct a harmonious and well-off society. Meanwhile, the construction of indemnificatory housing is one of the main measures to solve the housing difficulties of low-income families. The pace of indemnificatory housing investment in China has been sped up significantly since 2008, but there still exists a big gap compared with the demand for indemnificatory housing. This article analyzes the demand for indemnificatory housing through the calculation of the housing affordability index of different income levels of the population, and points out that there is a big imbalance between supply and demand in China's indemnificatory housing. So, management system and mode of financing of indemnificatory housing should be innovated and corresponding policy proposals should be put forward. © 2013 American Society of Civil Engineers.</t>
  </si>
  <si>
    <t>APARTMENT HOUSES; MANAGEMENT; OFFICE BUILDINGS; SUSTAINABLE DEVELOPMENT; HOUSING AFFORDABILITY; HOUSING AFFORDABILITY INDEX; HOUSING PROBLEM; INCOME LEVELS; INDEMNIFICATORY HOUSINGS; MANAGEMENT SYSTEMS; SUPPLY AND DEMAND; WELL-OFF SOCIETIES; ECONOMICS</t>
  </si>
  <si>
    <t>ICCREM: Constr. Oper. Context Sustainability - Proc. Int. Conf. Constr. Real Estate Manage.</t>
  </si>
  <si>
    <t>Conference paper</t>
  </si>
  <si>
    <t>Raynor, K</t>
  </si>
  <si>
    <t>Raynor, Katrina</t>
  </si>
  <si>
    <t>Assembling an innovative social housing project in Melbourne: mapping the potential for social innovation</t>
  </si>
  <si>
    <t>HOUSING STUDIES</t>
  </si>
  <si>
    <t>10.1080/02673037.2018.1535054</t>
  </si>
  <si>
    <t>University of Melbourne</t>
  </si>
  <si>
    <t>Raynor K., Univ Melbourne, Melbourne Sch Design, Melbourne, Vic, Australia</t>
  </si>
  <si>
    <t>In Australia, echoing trends in the UK, US and Canada, provision of social housing has transitioned from government-led mechanisms to an increasing focus on partnerships between private developers, government and the not-for-profit sector. In this context, social housing is often achieved via the 'cobbling together' of necessary resources over time. This article focuses on an innovative social housing project in the inner west of Melbourne, Australia, that involves the modular construction of 57 transportable dwellings located on government-owned land. I apply a theoretical framework that combines insights from social innovation literature and assemblage to understand the process of assembling a pilot project and to chart how the project may be scaled up or scaled out to challenge the system in which homelessness occurs. The research highlights the role of community housing providers as 'pivot points' in the social housing sector and acknowledges the importance of credibility, funding, legislative change and construction innovation in scaling housing social innovations.</t>
  </si>
  <si>
    <t>Social housing; social innovation; assemblage; social enterprise</t>
  </si>
  <si>
    <t>SCALING-UP; AUSTRALIA; AFFORDABILITY; POLICY; ENTERPRISE; HYBRIDITY; POLITICS</t>
  </si>
  <si>
    <t>ROUTLEDGE JOURNALS, TAYLOR &amp; FRANCIS LTD</t>
  </si>
  <si>
    <t>Hous. Stud.</t>
  </si>
  <si>
    <t>Wetzstein S.</t>
  </si>
  <si>
    <t>Wetzstein, Steffen (23768362900)</t>
  </si>
  <si>
    <t>Assessing post-GFC housing affordability interventions: a qualitative exploration across five international cities</t>
  </si>
  <si>
    <t>INTERNATIONAL JOURNAL OF HOUSING POLICY</t>
  </si>
  <si>
    <t>10.1080/19491247.2019.1662639</t>
  </si>
  <si>
    <r>
      <rPr>
        <u/>
        <sz val="10"/>
        <color rgb="FF000000"/>
        <rFont val="Helvetica Neue"/>
      </rPr>
      <t>https://www.scopus.com/inward/record.uri?eid=2-s2.0-85074936244&amp;doi=10.1080%2f19491247.2019.1662639&amp;partnerID=40&amp;md5=f2743a78a27158c189c8e912cdbf7f9d</t>
    </r>
  </si>
  <si>
    <t>School of Agriculture and Environment, The University of Western Australia, Perth, WA, Australia; Willy Brandt School of Public Policy, University of Erfurt, Erfurt, Germany</t>
  </si>
  <si>
    <t>Wetzstein S., School of Agriculture and Environment, The University of Western Australia, Perth, WA, Australia, Willy Brandt School of Public Policy, University of Erfurt, Erfurt, Germany</t>
  </si>
  <si>
    <t>This paper confronts one of the biggest contemporary public policy conundrums globally; the challenge of decreasing housing affordability for urban residents. Aiming to align the international literature with the multitude of policy responses following the Global Financial Crisis (GFC), the paper explores ‘in-depth’, and via recontextualisation, the policy priorities and strategies designed to combat housing affordability challenges across five international cities from advanced economy countries–Berlin (Germany), Vienna (Austria), Singapore (Singapore), Sydney (Australia) and Auckland (New Zealand). Carefully guided by critical social science and heterodox political economy literatures, and based on an innovative multi-city comparative ethnography (MCCE) centred on 118 in-depth research interviews with key stakeholders, six approaches are singled out as especially prominent: (1) market-based housing supply; (2) direct price/rent control; (3) construction cost reduction; (4) non-market-based housing supply; (5) demand-side interventions; and (6) urban land market interventions. Whereas all strategies face serious tensions, contradictions and implementation barriers, the latter three interventions are more likely to have a positive and lasting impact. Based on these findings, there is a need for normative reorientation and intellectual innovation in order to expand understandings on those three interventions in the name of affordable housing for all. © 2019 Informa UK Limited, trading as Taylor &amp; Francis Group.</t>
  </si>
  <si>
    <t>comparative knowledge production; critical evaluation; global housing affordability crisis; policy interventions; urban housing markets</t>
  </si>
  <si>
    <t>AUCKLAND [NORTH ISLAND]; AUSTRALIA; AUSTRIA; BERLIN; GERMANY; NEW SOUTH WALES; NEW ZEALAND; NORTH ISLAND; SINGAPORE [SINGAPORE (NTN)]; SINGAPORE [SOUTHEAST ASIA]; SYDNEY [NEW SOUTH WALES]; VIENNA; AFFORDABLE HOUSING; COMPARATIVE STUDY; HOUSING MARKET; HOUSING POLICY; KNOWLEDGE BASED SYSTEM; QUALITATIVE ANALYSIS; RESIDENTIAL DEVELOPMENT; URBAN HOUSING</t>
  </si>
  <si>
    <t>ROUTLEDGE</t>
  </si>
  <si>
    <t>Int. J. Hous. Policy</t>
  </si>
  <si>
    <t>Mulliner E.; Maliene V.</t>
  </si>
  <si>
    <t>Mulliner, Emma (47361388200); Maliene, Vida (24332653600)</t>
  </si>
  <si>
    <t>Austerity and reform to affordable housing policy</t>
  </si>
  <si>
    <t>JOURNAL OF HOUSING AND THE BUILT ENVIRONMENT</t>
  </si>
  <si>
    <t>10.1007/s10901-012-9305-6</t>
  </si>
  <si>
    <r>
      <rPr>
        <u/>
        <sz val="10"/>
        <color rgb="FF000000"/>
        <rFont val="Helvetica Neue"/>
      </rPr>
      <t>https://www.scopus.com/inward/record.uri?eid=2-s2.0-84878014376&amp;doi=10.1007%2fs10901-012-9305-6&amp;partnerID=40&amp;md5=3c1024075c745490dfc5458aa21e856e</t>
    </r>
  </si>
  <si>
    <t>Faculty of Technology and Environment, School of the Built Environment, Liverpool John Moores University, Liverpool, L3 3AF, Byrom street, United Kingdom</t>
  </si>
  <si>
    <t>Mulliner E., Faculty of Technology and Environment, School of the Built Environment, Liverpool John Moores University, Liverpool, L3 3AF, Byrom street, United Kingdom; Maliene V., Faculty of Technology and Environment, School of the Built Environment, Liverpool John Moores University, Liverpool, L3 3AF, Byrom street, United Kingdom</t>
  </si>
  <si>
    <t>The recession has created significant challenges for the government with regard to providing affordable housing. Even during the UK's housing boom the supply of housing failed to keep pace with demand. Therefore, increasing housing supply and improving affordability in a recessionary period will require the government to innovatively utilise their limited resources. Following the Comprehensive Spending Review in 2010 severe cuts to the housing budget were made and radical reforms to housing and planning policy have been proposed by the coalition government. The paper briefly discusses the UK housing market and affordable housing policy and practice recently employed in England. Subsequently a discussion of the coalition government's recent reforms to housing and planning policy, concerning affordable housing, is presented. © 2012 Springer Science+Business Media B.V.</t>
  </si>
  <si>
    <t>Affordable housing; Housing policy reform; Localism; Social housing; UK</t>
  </si>
  <si>
    <t>UNITED KINGDOM; AFFORDABLE HOUSING; HOUSING MARKET; HOUSING POLICY; POLICY REFORM; SOCIAL HOUSING</t>
  </si>
  <si>
    <t>J. Hous. Built Environ.</t>
  </si>
  <si>
    <t>Ryan-Collins J.</t>
  </si>
  <si>
    <t>Ryan-Collins, Josh (55757433200)</t>
  </si>
  <si>
    <t>Breaking the housing–finance cycle: Macroeconomic policy reforms for more affordable homes</t>
  </si>
  <si>
    <t>ENVIRONMENT AND PLANNING A</t>
  </si>
  <si>
    <t>10.1177/0308518X19862811</t>
  </si>
  <si>
    <r>
      <rPr>
        <u/>
        <sz val="10"/>
        <color rgb="FF000000"/>
        <rFont val="Helvetica Neue"/>
      </rPr>
      <t>https://www.scopus.com/inward/record.uri?eid=2-s2.0-85068992347&amp;doi=10.1177%2f0308518X19862811&amp;partnerID=40&amp;md5=cc316ad1496609fe113b2cb989ed3ba4</t>
    </r>
  </si>
  <si>
    <t>UCL Institute for Innovation and Public Purpose, United Kingdom</t>
  </si>
  <si>
    <t>Ryan-Collins J., UCL Institute for Innovation and Public Purpose, United Kingdom</t>
  </si>
  <si>
    <t>This paper argues that the housing affordability and wealth inequality crises facing advanced economies are driven by the emergence of a feedback cycle between finance and landed property. The cycle has been created by the increasing policy preference for private home ownership coupled with the liberalization of bank credit and accompanying financial innovation. Under such conditions, landed property becomes both the most attractive form of collateral for the banking system and the most desirable form of financial asset for households and investors. The housing–finance cycle emerged in Anglo-Saxon economies in the 1980s but has since spread to most advanced economies. Demand-side reforms, more than the supply-side reforms that dominate policy discussion, are required to break this cycle. Two reforms are discussed: (a) structural and institutional reforms to banking systems, including central banks; and (b) land policy reforms targeted at reducing the potential for rent extraction and speculative profits from property ownership. © The Author(s) 2019.</t>
  </si>
  <si>
    <t>credit; economic rent; financialization; Housing; land</t>
  </si>
  <si>
    <t>EUROPE; AFFORDABLE HOUSING; CAPITALISM; CREDIT PROVISION; HOMEOWNERSHIP; HOUSING FINANCE; HOUSING POLICY; INCOME DISTRIBUTION; MACROECONOMICS; POLICY REFORM; RENTAL SECTOR</t>
  </si>
  <si>
    <t>SAGE PUBLICATIONS LTD</t>
  </si>
  <si>
    <t>Environ. Plann. A</t>
  </si>
  <si>
    <t>Short P.; Parsell C.; Phillips R.; Seage N.; James A.; Australian Housing and Urban Research Institute; Queensland Research Centre</t>
  </si>
  <si>
    <t>Short, Patricia (57206038312); Parsell, Cameron (41862272900); Phillips, Rhonda (37014687000); Seage, Nicola (56413024900); James, Amity (56129373400); Australian Housing and Urban Research Institute (56412963600); Queensland Research Centre (56413071400)</t>
  </si>
  <si>
    <t>Bridging the divide: Householder and service provider experiences of forced exits from private rental in Queensland</t>
  </si>
  <si>
    <r>
      <rPr>
        <u/>
        <sz val="10"/>
        <color rgb="FF000000"/>
        <rFont val="Helvetica Neue"/>
      </rPr>
      <t>https://www.scopus.com/inward/record.uri?eid=2-s2.0-85116175944&amp;partnerID=40&amp;md5=b5463592c0b440e451c78049e261902f</t>
    </r>
  </si>
  <si>
    <t>University of Queensland, Australia</t>
  </si>
  <si>
    <t>Short P., University of Queensland, Australia; Parsell C., University of Queensland, Australia; Phillips R., University of Queensland, Australia; Seage N., University of Queensland, Australia; James A., University of Queensland, Australia; Australian Housing and Urban Research Institute, University of Queensland, Australia; Queensland Research Centre, University of Queensland, Australia</t>
  </si>
  <si>
    <t>This report presents the results of a project investigating forced exits from private rental accommodation in Queensland. It sought to understand practitioner responses and systems of service integration to assist these people be reintegrated back into suitable accommodation. The study involved online surveys, workshops, and qualitative interviews with service providers and householders.  Three case studies were from three metropolitan and regional areas in Queensland. Efforts to increase affordable housing need to be supplemented with other strfor those forced to exit the private rental market, and who are not eligible for, or likely to obtain, tightly targeted social housing.  These include: Resourcing housing and homelessness services to engage with private market and informal sectors. Strengthening and extending private rental housing support programs including Tenancy Advice and Advocacy services, RentConnect (including access for low-waged households living under housing stress), and Home Stay tenancy support programs. Providing information services on a range of accommodation options—from boarding to sharing. Developing appropriate regulatory and other measures in order to extend ‘rent by the room’ approaches that are widely used in student accommodation. The study has particular policy relevance for Queensland’s One Social Housing access system, since it identified the need to widen access to services through networked community agencies. Service provider effectiveness is currently constrained by overly tight program specifications and funding conditions—greater flexibility in service delivery models could encourage innovation that takes advantage of local opportunities.  This might entail increasing resources for outreach, collaboration and program development at the community and regional levels.</t>
  </si>
  <si>
    <t>Forced exits; Householder; Private rental; Queensland; Service provider</t>
  </si>
  <si>
    <t>Review</t>
  </si>
  <si>
    <t>Yusof R.M.; Khan S.J.M.; Yusuf F.M.; Majid N.H.A.</t>
  </si>
  <si>
    <t>Yusof, Rosylin Mohd (24438590900); Khan, Shazida Jan Mohd (55990781400); Yusuf, Fauziah M. (57208754365); Majid, Nurul Huda Abdul (57208750542)</t>
  </si>
  <si>
    <t>Bridging the supply and demand gap for affordable home ownership in Malaysia: The roles of government and financial institutions</t>
  </si>
  <si>
    <t>PLANNING MALAYSIA</t>
  </si>
  <si>
    <t>10.21837/pmjournal.v17.i9.595</t>
  </si>
  <si>
    <r>
      <rPr>
        <u/>
        <sz val="10"/>
        <color rgb="FF000000"/>
        <rFont val="Helvetica Neue"/>
      </rPr>
      <t>https://www.scopus.com/inward/record.uri?eid=2-s2.0-85065735332&amp;doi=10.21837%2fpmjournal.v17.i9.595&amp;partnerID=40&amp;md5=9284168b20d7494f597429c73c1b52f7</t>
    </r>
  </si>
  <si>
    <t>Othman Yeop Abdullah Graduate School of Business, Universiti Utara Malaysia, Malaysia; School of Economics, Finance and Banking, Universiti Utara Malaysia, Malaysia; Islamic Business School, Universiti Utara Malaysia, Malaysia; Universiti Utara Malaysia, Kuala Lumpur Campus, Malaysia</t>
  </si>
  <si>
    <t>Yusof R.M., Othman Yeop Abdullah Graduate School of Business, Universiti Utara Malaysia, Malaysia; Khan S.J.M., School of Economics, Finance and Banking, Universiti Utara Malaysia, Malaysia; Yusuf F.M., Islamic Business School, Universiti Utara Malaysia, Malaysia; Majid N.H.A., Universiti Utara Malaysia, Kuala Lumpur Campus, Malaysia</t>
  </si>
  <si>
    <t>Promoting homeownership remains a conundrum in a developing economy in Malaysia. Despite significant initiatives pursued by the government, more needs to be done to promote affordable and sustainable homeownership further. Khazanah Report (2018) provides evidence that housing affordability in Malaysia is worsening compared to one reported in 2015. This study therefore aims to empirically assess the role of government in terms of designing policies to promote the supply of affordable homes and the role of financial institutions in terms of providing home financing. The finding reveals that existing housing policies and government programmes have a significant role in promoting homeownership. The finding further suggests that building and completing more units of affordable homes (as captured by housing stocks) and promoting innovative home financing products (both conventional and Islamic) are the most significant variables in promoting homeownership in Malaysia. © 2019 Malaysian Institute Of Planners. All rights reserved.</t>
  </si>
  <si>
    <t>Affordable homes; Government housing effort; Home financing; Homeownership; Malaysia</t>
  </si>
  <si>
    <t>MALAYSIAN INSTITUTE OF PLANNERS</t>
  </si>
  <si>
    <t>Plann.Malays.</t>
  </si>
  <si>
    <t>Travers M.; Liu E.; Cook P.; Osborne C.; Jacobs K.; Aminpour F.; Dwyer Z.</t>
  </si>
  <si>
    <t>Travers, Max (16835523600); Liu, Edgar (57923797000); Cook, Peta (55160332300); Osborne, Caroline (58440639600); Jacobs, Keith (7202908017); Aminpour, Fatemeh (57211551766); Dwyer, Zack (57211442007)</t>
  </si>
  <si>
    <t>Business models, consumer experiences and regulation of retirement villages</t>
  </si>
  <si>
    <t>10.18408/ahuri4127501</t>
  </si>
  <si>
    <r>
      <rPr>
        <u/>
        <sz val="10"/>
        <color rgb="FF000000"/>
        <rFont val="Helvetica Neue"/>
      </rPr>
      <t>https://www.scopus.com/inward/record.uri?eid=2-s2.0-85149369241&amp;doi=10.18408%2fahuri4127501&amp;partnerID=40&amp;md5=b83e98ebdf9ef2018fd70a6813e81390</t>
    </r>
  </si>
  <si>
    <t>University of Tasmania, Australia; UNSW, Australia; Synergy Consulting</t>
  </si>
  <si>
    <t>Travers M., University of Tasmania, Australia; Liu E., UNSW, Australia; Cook P., University of Tasmania, Australia; Osborne C., Synergy Consulting; Jacobs K., University of Tasmania, Australia; Aminpour F., UNSW, Australia; Dwyer Z., University of Tasmania, Australia</t>
  </si>
  <si>
    <t>According to a national overview of the retirement village sector, in 2014 approximately 184,000 Australians lived in retirement villages, equivalent to 5.7 per cent of the population aged 65 and over. This rate is projected to increase to 7.5 per cent by 2025 (Grant Thornton 2014). The analysis in this report indicates that living in retirement villages saves the health care system $2.16 billion, with $1.98 billion of those savings achieved by postponing residents’ entry into government funded aged care facilities. This project looks at the appeal of retirement villages, as well as the problems that can arise. It draws on a survey of 855 residents in New South Wales (NSW), Queensland and Tasmania, 36 interviews with residents, and 10 interviews with professionals such as lawyers and village managers. A significant attractor to retirement villages was the opportunity to join a community formed through informal friendships. Affordability was an important consideration. Consumer complaints have included mis-selling, excessive exit fees and unfair buy-back arrangements (Greiner 2018). The survey conducted for this report shows fewer concerns, and many residents expressed positive views about exit fees. However, 25% of respondents either could not understand exit fees or experienced difficulties understanding exit fees. Two respondents felt trapped in a village, and one had been bullied. Most residents sought legal advice but did not see this as helpful. Few of the respondents sought advice from families. There is scope for differentiation and innovation within the exit fee model. Some villages offer residents a share in capital growth (although this has led to disputes). Subsidies from government or philanthropic organisations have made social experiments possible, including congregate living in a rental village and a proposed initiative to provide housing for older women with lower savings and income through targeted government support. Retirement villages could be made more affordable through a financial partnership with government with funds directed at low-income groups through care packages and public housing rather than subsidising wealthy Australians, companies and investors. Key findings 7.5 per cent of older Australians are expected to live in retirement villages by 2025 (Grant Thornton 2014). This housing option has health benefits for residents and may reduce the growing pressures on health services caused by an ageing population. The sector does not currently receive direct funding from Commonwealth or state and territory governments, although some local councils have set aside land for new development. This noted, state and territory governments both establish and maintain regulation, and the Australian Government invests in pilot projects that seek to assist low-income groups - including older women (Retirement Living Council 2022). The project drew on a survey of 855 residents in NSW, Queensland and Tasmania, interviews with 36 residents and also interviews with 10 professionals and advocates for social justice. We investigated four broad questions: What are the benefits and disadvantages of community living? What is the consumer experience, particularly regarding contracts, access to services, and community relations? How do consumers experience difficulties? What business models are employed? What are the current challenges? How can the Australian Government help the sector to expand? How can it diversify provision and support consumer choice? Question 1: What are the benefits and disadvantages of community living? There are push factors such as loneliness and ill health, and many pull factors such as the facilities and natural environment, and affordability made possible through the exit or deferred management fee. The strongest attractor was belonging to a community based on informal friendships. There were also, however, negative aspects including being subject to ageism through the perception of segregation from younger age groups. (Table Presented) Question 2: What is the consumer experience, particularly regarding contracts, access to services, and community relations? How do consumers experience difficulties? Since the 1970s, complaints have been made about the consumer experience in retirement villages. Issues with consumer experience were reviewed recently by a television documentary (ABC 2017). Complaints include mis-selling, excessive exit fees and unfair buy-back arrangements. Legislation passed during the 1990s and in the last 10 years has to some extent addressed the problems. Contributory causes are inadequate provision of legal advice, and a hard line taken by operators under pressure to make profits in a competitive market. The research approach acknowledges the complexity of different stakeholder views. A lawyer, for example, noted that consumers are warned about risks, but do not always employ due diligence: Look, it’s a very difficult space, but I think the consumer protection is inherently a difficult space. They want one thing, they want to buy a load of goods on the one hand, and they really don’t want to do their due diligence, but when it’s not meeting their expectations on the other, they want to complain about it. How do I approach it as a lawyer? I make sure my client understands, as best as possible, meaningfully, what it is they’re buying into. Although some residents have bad experiences and even feel trapped in villages, surveys indicate that most are happy. Although this may change when they seek to leave. (Table Presented) Question 3: What business models are employed? What are the current challenges? Industry insiders believe that the business model is not well understood by government or critics. There is only one model—the exit fee or deferred management fee—that allows residents to live in properties at a reduced entry price. Variations within the model allow different types of tenure and levels of service but no alternative models have been developed. There is an alternative means of renting buildings in Manufactured Home Estates, often confusingly also called villages. This type of housing offers fewer legal protections, but is growing due to government rental support. There are also alternative purchase arrangements that allow a share in capital gains. In addition, some experimental and social initiatives are co-funded in the not-for-profit sector. These include rental congregate villages in which residents eat together to encourage stronger communities. Question 4: How can the Australian Government help the sector to expand? How can it diversify provision and support consumer choice? There are different means of providing indirect support, including through planning policies and establishing regulation. However, there has so far been limited support for expansion. Direct support and investment would arguably be needed for villages to house more than 10 per cent of older Australians. Policy development options Howe (2003) noted that the growth of retirement villages amounted to policy by default. Governments were happy for the sector to grow without the need for financial support. Today, state and territory governments have been asked to take a larger role through establishing and maintaining regulation. Despite the fact most residents are satisfied, this report demonstrates that more effort and investment is required, such as by funding a specialist ombudsman. More generally, we have questioned the assumption that government should financially subsidise or support villages. Opportunities for co-funding new initiatives that draw on the experiences of the aged care sectors in the United States of America (USA) and Europe are explored in this report. The challenge lies in offering an alternative to independent living in villages at scale rather than a pilot or experimental scheme. Limited support from Commonwealth, and state and territory governments would arguably be best used in supporting lower-income and vulnerable groups through home-care packages and public housing rather than subsidising wealthier home owners to live in villages. © Australian Housing and Urban Research Institute Limited 2022.</t>
  </si>
  <si>
    <t>housing aspirations and careers; housing assistance; Retirement housing; social policy</t>
  </si>
  <si>
    <t>Crabtree L.; Blunden H.; Milligan V.; Phibbs P.; Sappideen C.; Moore N.; Australian Housing and Urban Research Institute; UNSW-UWS Research Centre</t>
  </si>
  <si>
    <t>Crabtree, Louise (14025317500); Blunden, Hazel (56598034100); Milligan, Vivienne (15062972200); Phibbs, Peter (7003460041); Sappideen, Carolyn (6506771331); Moore, Nicole (56415805800); Australian Housing and Urban Research Institute (56412963600); UNSW-UWS Research Centre (56413078400)</t>
  </si>
  <si>
    <t>Community land trusts and indigenous housing options</t>
  </si>
  <si>
    <t>EC6</t>
  </si>
  <si>
    <r>
      <rPr>
        <u/>
        <sz val="10"/>
        <color rgb="FF000000"/>
        <rFont val="Helvetica Neue"/>
      </rPr>
      <t>https://www.scopus.com/inward/record.uri?eid=2-s2.0-85116177134&amp;partnerID=40&amp;md5=d0de6950bea2de14b5988a462c9d3f73</t>
    </r>
  </si>
  <si>
    <t>University of Western Sydney, Australia; University of New South Wales, Australia</t>
  </si>
  <si>
    <t>Crabtree L., University of Western Sydney, Australia; Blunden H., University of Western Sydney, Australia; Milligan V., University of New South Wales, Australia; Phibbs P., University of Western Sydney, Australia; Sappideen C., University of Western Sydney, Australia; Moore N., University of Western Sydney, Australia; Australian Housing and Urban Research Institute; UNSW-UWS Research Centre</t>
  </si>
  <si>
    <t>There is considerable interest in Australia at present in increasing home ownership rates among Aboriginal people and Torres Strait Islanders (hereafter Indigenous people). There is a current drive for housing policy reform to enable innovation and nuance and appropriate tenure adjustments for an important group within the Australian population. As a body of commissioned research in response to a targeted application process, this research project is a direct result of that interest. While a strong political and policy objective, increasing Indigenous home ownership is a complex issue that gives rise to many legal, policy and practical challenges. Core challenges relate to: existing Indigenous land tenure systems; income and employment profiles of Indigenous households; the capacity and viability of Indigenous organisations; and, diverse conditions across local housing markets. Existing land tenure arrangements on Indigenous lands might not readily enable mainstream forms of home ownership, especially where land is held collectively and not currently subdivided. Many Indigenous households - especially in remote areas - experience low and fluctuating income levels that suggest mortgage-backed home ownership could be problematic. Many Indigenous organisations that operate in the housing field and support local communities have come under pressure from policy and regulatory changes and face uncertain futures. Lastly, many Indigenous communities have small populations and would not open their market to non-community members, so the potential market for ownership in such situations would in all likelihood be very small. In other locations such as mining areas and tourist towns, market conditions are displacing Indigenous people and are unfavourable to affordable home ownership. Local housing market characteristics are especially relevant to policy positions that are considering home ownership as a wealth creation and economic development vehicle for Indigenous communities and households, as the reality of markets in many Indigenous communities would suggest these objectives would most likely not be realised. Policy interventions and program developments therefore need to be considered carefully in order to not unduly expose Indigenous populations to any unreasonable risks of market-based ownership. Previous research shows that there is interest amongst Indigenous communities in core traits associated with home ownership, such as stability, a sense of ownership and inheritability (Memmott et al. 2009). That research found less interest amongst Indigenous communities in the house as an asset or a wealth creation vehicle; in many locations it may also be unreasonable to expect housing to act as a wealth creation vehicle due to market constraints. Consideration of these aspirations highlights the potential relevance of utilising hybrid tenure forms to diversify appropriate housing options for Indigenous people and communities. 'Hybrid tenure forms' refers to a suite of tenure options that span the gap between rental and full ownership models (see Figure 1). The terms 'intermediate tenure' 'shared equity', 'shared ownership' and 'shared equity home ownership' are also used to describe models in this space. These include various forms of housing co-operatives, dual mortgage schemes, deed-restricted mortgages and Community Land Trusts (CLTs), which are the focus of this study. All of these hybrid variants reflect attempts to provide accessible tenure forms that can offer stability without undue exposure or vulnerability, most often by balancing or sharing the equity of the housing with a partner organisation. Such hybrid tenure forms exist in marginal numbers in Australia, despite ongoing and growing affordability concerns. There is a need to explore the potential of such models in the Australian housing market in general and in Indigenous communities, as they might be more responsive and appropriate to local housing aspirations and market conditions. Given the challenges of achieving home ownership among Indigenous households just outlined, consideration of alternative tenure models must begin with recognition that what is required is a range of housing options that do not present unnecessary risk to the resident nor 'trap' residents in a housing tenure and location from which there is no viable exit pathway. Research aims and questions: This report presents the findings of AHURI-funded research into the potential relevance of models based on Community Land Trusts (CLTs), one form of hybrid tenure, for the Indigenous housing sector. The aims of the project have been to tease out relevant aspects of CLTs as developed overseas and to investigate their resonance with and applicability to Indigenous housing policy objectives, with a practical focus on their potential operation in New South Wales (NSW) and Queensland. To address these aims five research questions were posed: 1. What are the key features of CLTs as implemented overseas? 2. What outcomes have been achieved? 3. What are the possible applications of CLTs for Indigenous households and how would this vary geographically? 4. What are the legal implications of CLTs? 5. For Indigenous housing policy and housing programs, what are the implications (especially financial) of establishing CLTs? Research process: Research for the project was undertaken in two phases. Phase 1 addressed the first two of the above research questions and consisted of a desk-based literature review combined with material collected from previous discussions with CLT researchers and practitioners in the United States of America (US) and the United Kingdom (UK). The second phase responded to questions three through five via field work with communities in NSW and Queensland, and by examining Indigenous land title and relevant Acts, undertaking financial modelling and exploring potential governance issues. The outcomes of Phase 1 were presented in the Research Report 'Principles and practices of an affordable housing community land trust model' (Crabtree et al. 2012), which is a companion report to this Final Report. This Final Report presents findings from the second phase of the project, responding to the remaining questions listed above and documenting the processes through which the research was undertaken. An Indigenous Advisory Group (IAG) formed at the commencement of the project was central to bringing Indigenous knowledge and engagement to the project. The IAG: workshopped core research questions with the research team; provided guidance on case study selection criteria developed by the team; reviewed the case study shortlist; provided feedback on fieldwork findings and scenarios; and, provided feedback on the draft Final Report. Following the field work, the IAG was expanded to include members of communities that were visited over the course of the research. Primary research for the project was centred on a case study approach to assessing the potential for adopting or adjusting CLT models for Indigenous housing in specific locations in two state jurisdictions, NSW and Queensland. This fieldwork was supplemented by expert analysis of three areas that would be critical to the successful establishment of a CLT type model for Indigenous housing. First, specialist advice about legal issues that would need to be addressed in order to implement CLTs was obtained. In particular, expert legal consideration was given to the implications of the NSW Aboriginal Land Rights Act (ALRA) and the Queensland Aboriginal Land Act (ALA). Second, preliminary financial modelling of the costs of core CLT activities in different market contexts was performed, supplemented by interviews with Indigenous and mainstream financial agencies. Third, possible governance mechanisms for delivering CLT programs were examined, in the context of both the existing institutional arrangements for the delivery of Indigenous housing in Australia and international best practice. What is a Community Land Trust?: As discussed in detail in Crabtree et al. (2012), CLTs are a form of common land ownership where land is held by a private non-profit entity and leased on a long-term basis to members of the community or other organisations. Buildings and services on that land are then held as owned or leased properties by residents, businesses and/or other community housing providers. Ground leases are inheritable, and properties on leased land can be bought and sold at prices determined by a resale formula. This arrangement can offer many of the widely acknowledged benefits of home ownership, including resident control over a dwelling, security of tenure and transfer of occupancy rights, and the potential for asset-based wealth building. Further, this arrangement provides housing that is affordable to residents - whether buying or renting - and which remains affordable for subsequent residents. Affordability is retained most commonly through a locally-determined resale formula contained within the ground lease. Crabtree et al. (2012) found a high degree of flexibility in CLT programs in the US and UK, whereby CLTs can and do deliver affordable rental, co-operative and owner-occupied housing, as well as provide opportunities for additional commercial and/or community facilities. The sector in the US has provided secure and affordable housing, and has experienced much lower default and foreclosure rates than the open market average during the recent US mortgage crisis. That sector is a few decades old, having started in the 1960s and experienced exponential growth since, fuelled partly by interest in the sector's ability to provide affordable and stable home ownership for lower-income households. There are now over 240 CLTs in the US. The UK sector is only a few years old and emerged from interest in the success of the US sector. © 2012, Australian Housing and Urban Research Institute. All rights reserved.</t>
  </si>
  <si>
    <t>Community land trusts; Indigenous housing options</t>
  </si>
  <si>
    <t>Leyva del Río S.</t>
  </si>
  <si>
    <t>Leyva del Río, Santiago (57912425600)</t>
  </si>
  <si>
    <t>Conceptualising the commons as a relational triad: Lessons from the grant of use cooperative housing model in Barcelona</t>
  </si>
  <si>
    <t>GEOFORUM</t>
  </si>
  <si>
    <t>10.1016/j.geoforum.2022.09.007</t>
  </si>
  <si>
    <r>
      <rPr>
        <u/>
        <sz val="10"/>
        <color rgb="FF000000"/>
        <rFont val="Helvetica Neue"/>
      </rPr>
      <t>https://www.scopus.com/inward/record.uri?eid=2-s2.0-85139022900&amp;doi=10.1016%2fj.geoforum.2022.09.007&amp;partnerID=40&amp;md5=43236e467a9ae22da43db5ad1c899cc6</t>
    </r>
  </si>
  <si>
    <t>Department of Geography, School of Environment, Education and Development, Arthur Lewis Building, University of Manchester, Oxford Road, Manchester, M13 9PL, United Kingdom</t>
  </si>
  <si>
    <t>Leyva del Río S., Department of Geography, School of Environment, Education and Development, Arthur Lewis Building, University of Manchester, Oxford Road, Manchester, M13 9PL, United Kingdom</t>
  </si>
  <si>
    <t>The current crisis of housing affordability in urban environments has drawn the attention of geographers to housing commons. This paper provides a conceptual and operational framework for an empirical study of housing commons. In thinking about the commons as a ‘relational triad’ involving a resource (the object), and community (the actors) and a form of organisation (the activity), I argue that housing commons are hybrid, imperfect social processes that escape binary scrutiny. Drawing on the findings of a research project that took place between 2017 and 2021, I focus on an emerging form of self-managed cooperative housing in the city of Barcelona, known as the ‘grant of use model’. I dwell on the contradictory nature of self-management in the context of a social reproduction crisis. Housing commons can be conducive to solidaristic communities and non-individualist subjectivities outside the financialisation of everyday life via mortgaged homeownership. However, the time and emotional investment required to self-develop housing projects in highly regulated, neoliberal urban spaces are not available for everyone. Housing commons require a favourable political context, economic resources, social connections and technical knowledge, which prevent democratic access. I analyse the origin and causes of exclusionary boundaries surrounding these housing commons to understand how these boundaries can be softened. Departing from disembedded conceptualisations of the commons, I show what type of public-common partnerships and innovative policies can make housing commons more inclusive without renouncing principles such as self-organisation and autonomy. © 2022 The Author</t>
  </si>
  <si>
    <t>Housing commons; Public-common partnerships; Self-management; Social reproduction; Urban housing</t>
  </si>
  <si>
    <t>BARCELONA [BARCELONA (PRV)]; BARCELONA [CATALONIA]; CATALONIA; SPAIN; AFFORDABLE HOUSING; FINANCIAL SYSTEM; URBAN HOUSING</t>
  </si>
  <si>
    <t>ELSEVIER LTD</t>
  </si>
  <si>
    <t>Geoforum</t>
  </si>
  <si>
    <t>Mahmood A.; Seetharaman K.; Jenkins H.T.; Chaudhury H.</t>
  </si>
  <si>
    <t>Mahmood, Atiya; Seetharaman, Kishore; Jenkins, Hailey-Thomas; Chaudhury, Habib</t>
  </si>
  <si>
    <t>Contextualizing Innovative Housing Models and Services Within the Age-Friendly Communities Framework</t>
  </si>
  <si>
    <t>GERONTOLOGIST</t>
  </si>
  <si>
    <t>10.1093/geront/gnab115</t>
  </si>
  <si>
    <t>Simon Fraser University</t>
  </si>
  <si>
    <t>Mahmood A., Simon Fraser Univ, Dept Gerontol, Vancouver, BC, Canada; Seetharaman K., Simon Fraser Univ, Dept Gerontol, Vancouver, BC, Canada; Jenkins H., Simon Fraser Univ, Dept Gerontol, Vancouver, BC, Canada; Chaudhury H., Simon Fraser Univ, Dept Gerontol, Vancouver, BC, Canada</t>
  </si>
  <si>
    <t>This article compares and contrasts the characteristics of 3 models of housing and services for older adults, cohousing, Naturally Occurring Retirement Community Supportive Services Program, and villages, and links them to the domains of the age-friendly communities (AFCs) framework, specifically (a) services, supports, and information; (b) respect, inclusion, and diversity; (c) social and civic participation; and (d) affordability. We discuss key barriers and challenges of these models with respect to the AFC domains, as well as implementation and sustainability. Consideration of these models in age-friendly housing policy and practice could help expand and diversify the choices in the housing and services continuum. This aligns with AFC's emphasis on the need for housing and services responsive to older adults' diverse health and social needs, provides options that balance autonomy, choice, and support, and emphasizes older adults' participation and involvement in tailoring these options.</t>
  </si>
  <si>
    <t>Aging in place; Cohousing; NORC-SSP; Villages</t>
  </si>
  <si>
    <t>AGING IN-PLACE; VILLAGE MODEL; OLDER-PEOPLE; NORC; IMPACT; NEIGHBORHOODS; INITIATIVES; CHALLENGES; CONTEXT; HEALTH</t>
  </si>
  <si>
    <t>OXFORD UNIV PRESS INC</t>
  </si>
  <si>
    <t>Gerontologist</t>
  </si>
  <si>
    <t>Rowley S.; Phibbs P.</t>
  </si>
  <si>
    <t>Rowley, Steven (7006249092); Phibbs, Peter (7003460041); Australian Housing and Urban Research Institute (56412963600); Western Australia Research Centre (56413009200); UNSW-UWS Research Centre (56413078400)</t>
  </si>
  <si>
    <t>Delivering diverse and affordable housing on infill development sites</t>
  </si>
  <si>
    <r>
      <rPr>
        <u/>
        <sz val="10"/>
        <color rgb="FF000000"/>
        <rFont val="Helvetica Neue"/>
      </rPr>
      <t>https://www.scopus.com/inward/record.uri?eid=2-s2.0-85116177450&amp;partnerID=40&amp;md5=8c82323ee40d4c61468b4fc7c0b4a6e0</t>
    </r>
  </si>
  <si>
    <t>Curtin University, Australia; University of Western Sydney, Australia</t>
  </si>
  <si>
    <t>Rowley S., Curtin University, Australia; Phibbs P., University of Western Sydney, Australia; Australian Housing and Urban Research Institute; Western Australia Research Centre; UNSW-UWS Research Centre</t>
  </si>
  <si>
    <t>Adequate housing supply to accommodate the projected growth in Australian cities is an issue of growing significance. The National Supply Council has indicated that housing supply is unable to keep pace with demand (NHSC 2011). Previously the concern of state and local governments, in recent times the Federal Government has shown an increased interest in the issue of housing and land supply. This increasing interest is welcome. However, as policy-makers grapple with these important issues, the policy formation process is hampered by a lack of fundamental understanding about the nature of housing supply, the relationship between land and housing supply and, in particular, the challenges of increasing supply through infill development. This is especially interesting given the important role awarded to infill development in the metropolitan planning strategies of Australia's major cities. The development industry delivers housing in return for a profit. Without this profit development does not occur. Assessments of development feasibility take into account market demand and supply, what is permissible under planning policy, development costs, infrastructure contributions as well as finance charges, professional fees and land costs. Developers will assess many sites and reject perhaps 95 per cent of them because they are financially unfeasible. On infill development sites there are a variety of additional barriers to generating profit and therefore the delivery of infill housing of all types. The barriers to delivering diverse and affordable housing are even greater and are shown in Figure 1 below. Figure 1 uses an outline of the basic development process to illustrate the blockages in housing supply. In order to overcome these barriers the industry needs to deliver a range of innovative solutions. Identifying these solutions is the primary aim of this Investigative Panel Project. The panel brought together around 50 experts from the public and private sectors across four panels in two cities, Sydney and Perth. Rather than just reporting the barriers to infill development, the objective of this panel was to put forward a range of suggestions from those working in the development industry designed to increase housing supply on infill sites. Consequently, this report is very much a synthesis of expert opinion rather than an academic exploration of the issues. Sydney and Perth were chosen as the case study cities because they represent two extremes in the delivery of medium and high-density housing on infill sites. In Perth, around 80 per cent of housing supply comes from detached dwellings; the figure is closer to 60 per cent in Sydney. In Perth the new metropolitan plan, Directions 2031 and Beyond, seeks to double the rate of infill development to around 50 per cent of all new housing, a level already being achieved in Sydney. The Project hoped to take lessons from Sydney and apply to Perth, but it quickly become clear that there were also significant barriers to infill development in Sydney, often quite different to the challenges facing Perth. The panels provided twelve hours of discussions. Synthesised from these discussions were 40 suggestions put forward to overcome the barriers to delivering diverse and affordable housing. Suggestions range from the simple to the ambitious, achievable to the near impossible. For each suggestion, further analysis explores the origin of the ideas, the level of opposition and the route to implementation. The aim of this report is not to analyse or promote particular suggestions but rather to provide a platform for them, to generate ideas, promote debate and hopefully elicit change. Central to the suggestions is the role of the private sector. The vast majority of infill housing will be delivered by the private sector and a profit must be achievable in order for housing to be completed. While it became clear that making the development approval process more certain, more efficient and less costly is crucial (deemed approval at the expiry of specific time limits is one solution), the panels' identified a complex range of other interconnected issues. The delivery of affordable housing on infill sites is a major challenge. Land prices and construction costs require revenues from developments that more often than not preclude the delivery of affordable housing. With land prices and the cost to revenue balance forcing many sizable developers out of large scale infill development in the short-term, it is left to medium-density developments to provide this housing. For the private sector to deliver diverse and affordable housing on any significant scale, there need to be partnerships with the public sector and community housing organisations, ideally on public sector land to maximise contributions. Planning agreements and inclusionary zoning requirements from re-development organisations will provide an important, but limited, quantity of housing. The suggestions put forward in this report reflect, on the one hand, a desire for less public sector involvement to let the market operate efficiently but, on the other hand, necessary public sector intervention to secure affordable housing in what are often high value areas. Financial feasibility will drive market development but, given development costs and landowner price expectations, revenues need to be sufficient to generate the required minimum level of profit necessary to compensate for the risks of development. Therefore, without intervention within the development approval process, the market is unlikely to deliver a product considered affordable to those on low to moderate incomes in all but the lowest value areas. Planning policy could be used to intervene to make the provision of affordable housing integral to the approval process, but this can lead to market distortions and is particularly problematic when developers already own land and therefore any reduction in revenue will affect their profit. There needs to be in place a method of incentivising private sector developers to deliver an element of affordable housing on typical, small-scale infill development sites. This could be through development incentives, such as density bonuses, but such incentives must be targeted at the developer and not inadvertently passed to the landowner in the form of land value uplift. Incentives that increase land values do nothing to enable the delivery of affordable housing. Inclusionary zoning would enable developers to pass affordable housing contributions on to land owners but it would take considerable time for policy to become embedded within planning documents and overcome the complications that stem from existing ownership issues. Additional requirements within the development approval process would also need to be administered efficiently to ensure that there are no delays as a consequence. Construction costs, particularly labour costs, and a building industry structured to deliver a traditional single story product, at least in Western Australia, need to be addressed and banks should be more flexible in their lending practices to promote infill development by smaller developers (one of the more ambitious suggestions). Encouraging smaller developers to deliver small-scale, infill development projects such as three-storey walk up apartments was identified as the most effective way to increase housing supply. Large-scale residential towers are not the solution. However, as noted previously, securing large quantities of affordable housing in high land value areas (inner &amp; middle suburbs) will require policy intervention. In many ways the decline in affordability, for first home buyers in particular, may force developers to provide a different type of product, and we are already seeing evidence of this in Perth. Smaller lot sizes, smaller houses and generally a greater diversity of dwelling is starting to be developed delivering a lower priced product to the market at price points where demand is greatest; below $400 000. The success of such housing demonstrates how profits can be made from non-traditional products and this is the most effective way to increase the number of developers delivering such housing. In combination with partnerships with the public sector, more intense use of publicly-owned land, a more efficient and less political development approval process, and better coordinated and funded infrastructure provision, medium-density development within inner and middle suburbs provides the best opportunity to increase the supply of diverse and affordable housing. A consistent theme from the discussions was the degree of consensus between the private and public sectors. The majority of public officials agree with the private sector that increasing the supply of infill development is a crucial strategy for Australia's cities. Both the private and public sector agree that the issue of leadership is very important: leadership promoting the benefits of infill development, coordinating infrastructure provision and driving public acceptance of higher density development and affordable housing. Figure 2 below presents a summary of the suggestions, synthesised from the panel discussions, which could apply at various stages of the development process. One of the key findings is the contradiction between decreasing government intervention in the market and the delivery of non-subsidised affordable housing. Many of the 40 suggestions pertain to simplifying the development approval process and allowing developers to meet the requirements of the market. By removing levels of intervention it will be almost impossible to secure affordable housing as developers would not be maximising profits by adding an element of affordable housing to market developments in the vast majority of infill locations. © 2012, Australian Housing and Urban Research Institute. All rights reserved.</t>
  </si>
  <si>
    <t>Development feasibility; Finance; Infill housing; Residential development</t>
  </si>
  <si>
    <t>Gibb K.</t>
  </si>
  <si>
    <t>Gibb, Kenneth (57207499028)</t>
  </si>
  <si>
    <t>Delivering new affordable housing in the age of austerity: Housing policy in Scotland</t>
  </si>
  <si>
    <t>INTERNATIONAL JOURNAL OF HOUSING MARKETS AND ANALYSIS</t>
  </si>
  <si>
    <t>10.1108/17538271111172157</t>
  </si>
  <si>
    <r>
      <rPr>
        <u/>
        <sz val="10"/>
        <color rgb="FF000000"/>
        <rFont val="Helvetica Neue"/>
      </rPr>
      <t>https://www.scopus.com/inward/record.uri?eid=2-s2.0-84861398787&amp;doi=10.1108%2f17538271111172157&amp;partnerID=40&amp;md5=f814787113e700c981d69618413cb901</t>
    </r>
  </si>
  <si>
    <t>Urban Studies, School of Social and Political Sciences, University of Glasgow, Glasgow, United Kingdom</t>
  </si>
  <si>
    <t>Gibb K., Urban Studies, School of Social and Political Sciences, University of Glasgow, Glasgow, United Kingdom</t>
  </si>
  <si>
    <t>Purpose: The purpose of this paper is to assess new and often innovative models that aim to fund and deliver affordable housing in Scotland within a context of fiscal crisis. These models and their setting have implications for other countries with limited funds to support their housing systems. Design/methodology/approach: This paper is a policy analysis, drawing on ideas from public policy and applied economics. It derives a set of criteria with which to provide an interim assessment of both key proposals and the policy programme as a whole. Findings: The new models and the government's approach are pragmatic and have elements of genuine innovation. Other elements are only aspirations at this point and considerable uncertainties remain. The new environment will be difficult for housing associations but also in terms of wider knock-on effects between the market-rented sector and intermediate housing. Major concerns remain about rent levels and there is a lack of clarity about government's long-term objectives for social housing. Originality/value: The paper provides a first critical overview and initial assessment of radical new policies for affordable housing in Scotland. The paper's subject matter is of direct relevance to all national housing systems confronting shortages of public resources, a demonstrable need for more affordable housing, and also those contemplating radical reform to tried and tested funding and delivery models. © Emerald Group Publishing Limited.</t>
  </si>
  <si>
    <t>Government policy; Housing; Housing affordability; Housing policy; Housing system reforms; Public policy; Scotland; Social housing</t>
  </si>
  <si>
    <t>Intern. J. Hous. Mark. Anal.</t>
  </si>
  <si>
    <t>Vergara-Perucich J.F.</t>
  </si>
  <si>
    <t>Vergara-Perucich, José Francisco (58762019800)</t>
  </si>
  <si>
    <t>Does land price affect housing prices? Evidence from Santiago, Chile 2008–2019</t>
  </si>
  <si>
    <t>GEOSCAPE</t>
  </si>
  <si>
    <t>10.2478/geosc-2024-0011</t>
  </si>
  <si>
    <r>
      <rPr>
        <u/>
        <sz val="10"/>
        <color rgb="FF000000"/>
        <rFont val="Helvetica Neue"/>
      </rPr>
      <t>https://www.scopus.com/inward/record.uri?eid=2-s2.0-85213447423&amp;doi=10.2478%2fgeosc-2024-0011&amp;partnerID=40&amp;md5=1a43e6fba6717e684e7dc4b90efe31fa</t>
    </r>
  </si>
  <si>
    <t>Facultad de Arquitectura, Animación, Diseño y Construcción, Universidad de Las Américas, Santiago, Chile</t>
  </si>
  <si>
    <t>Vergara-Perucich J.F., Facultad de Arquitectura, Animación, Diseño y Construcción, Universidad de Las Américas, Santiago, Chile</t>
  </si>
  <si>
    <t>This study embarks on an exploration of the intricate relationship between land prices and housing prices within the dynamic urban landscape of Santiago, Chile, spanning from 2008 to 2019. Amidst an escalating housing affordability crisis and the burgeoning prevalence of informal settlements, this research seeks to elucidate the underlying factors contributing to housing price dynamics, with a particular emphasis on the role of land prices. Utilizing a robust dataset encompassing over 556,400 transactions, meticulously compiled from the Santiago Real Estate Registrar, this investigation employs a rigorous multi-criteria evaluation methodology, incorporating Granger causality analysis to dissect the complex interplay between various economic indicators. At the heart of this analysis lies the innovative application of weekly data transformations and the Augmented Dicky-Fuller test to ensure the stationarity of variables, thereby laying a solid foundation for the Granger causality assessment. The study’s findings illuminate a nuanced landscape where, contrary to prevailing assumptions, land prices do not exhibit a universally significant impact on housing prices. Instead, the influence of land prices on housing affordability is intricately linked to other pivotal factors, including mortgage interest rates, inflation, and market indices such as the Santiago Stock Exchange IPSA. This research not only challenges conventional wisdom regarding the primacy of land prices in housing market dynamics but also offers valuable insights into the multifaceted nature of real estate economics in Santiago. By unraveling the limited causality between land and housing prices, this study contributes a critical perspective to the ongoing discourse on urban development and housing policy in Chile. It underscores the imperative for policymakers to adopt a more holistic approach, considering a broader spectrum of economic variables in addressing the housing affordability crisis and fostering sustainable urban growth. © Jan Evangelista Purkyně University in Ústí nad Labem.</t>
  </si>
  <si>
    <t>Chile; Granger; Housing; Housing Price; Land Price; Real Estate</t>
  </si>
  <si>
    <t>SCIENDO</t>
  </si>
  <si>
    <t>GeoScape</t>
  </si>
  <si>
    <t>Yuen B.; Jacobs J.M.</t>
  </si>
  <si>
    <t>Yuen, Belinda (7005598118); Jacobs, Jane M. (7403557246)</t>
  </si>
  <si>
    <t>Down the Vertical Refuse Chutes in Singapore High-rise Living</t>
  </si>
  <si>
    <t>JOURNAL OF PLANNING HISTORY</t>
  </si>
  <si>
    <t>10.1177/15385132221085948</t>
  </si>
  <si>
    <r>
      <rPr>
        <u/>
        <sz val="10"/>
        <color rgb="FF000000"/>
        <rFont val="Helvetica Neue"/>
      </rPr>
      <t>https://www.scopus.com/inward/record.uri?eid=2-s2.0-85129266376&amp;doi=10.1177%2f15385132221085948&amp;partnerID=40&amp;md5=761605729736045b5f8180673621f9c4</t>
    </r>
  </si>
  <si>
    <t>Lee Kuan Yew Centre for Innovative Cities, Singapore University of Technology and Design, Singapore; Division of Social Sciences, Yale-NUS College, Singapore</t>
  </si>
  <si>
    <t>Yuen B., Lee Kuan Yew Centre for Innovative Cities, Singapore University of Technology and Design, Singapore; Jacobs J.M., Division of Social Sciences, Yale-NUS College, Singapore</t>
  </si>
  <si>
    <t>In the first three decades of post-independence (1960–1990), Singapore underwent a radical housing transition into high-rise, high-density housing that required technical innovation to manage new scales and heights of household waste. Drawing on perspectives from urban political ecology, three questions are examined: What were the key challenges of household waste management policy and technology across this period? Who were the key actors and development partners? What was the environmental and social rationale for everyday waste management, and how did it change over time? We discern a pattern of innovation, which was driven by intersecting challenges around accessibility, affordability and adoption. © The Author(s) 2022.</t>
  </si>
  <si>
    <t>household waste; public housing; resident behaviour; Singapore; vertical refuse chutes</t>
  </si>
  <si>
    <t>SINGAPORE; DOMESTIC WASTE; INNOVATION; POST-INDEPENDENCE; WASTE MANAGEMENT</t>
  </si>
  <si>
    <t>SAGE PUBLICATIONS INC.</t>
  </si>
  <si>
    <t>J. Plann. Hist.</t>
  </si>
  <si>
    <t>Kilonzo H.M.; Muriithi M.; Ongeri B.O.</t>
  </si>
  <si>
    <t>Kilonzo, Hilary Mati (59515743200); Muriithi, Moses (55824830500); Ongeri, Benedicto Onkoba (59514979900)</t>
  </si>
  <si>
    <t>Drivers of housing financing in Kenya</t>
  </si>
  <si>
    <t>10.1108/IJHMA-09-2024-0139</t>
  </si>
  <si>
    <r>
      <rPr>
        <u/>
        <sz val="10"/>
        <color rgb="FF000000"/>
        <rFont val="Helvetica Neue"/>
      </rPr>
      <t>https://www.scopus.com/inward/record.uri?eid=2-s2.0-85215134782&amp;doi=10.1108%2fIJHMA-09-2024-0139&amp;partnerID=40&amp;md5=b834234b54f18c4ff6dd06f6d543a111</t>
    </r>
  </si>
  <si>
    <t>Department of Economics, University of Nairobi, Nairobi, Kenya</t>
  </si>
  <si>
    <t>Kilonzo H.M., Department of Economics, University of Nairobi, Nairobi, Kenya; Muriithi M., Department of Economics, University of Nairobi, Nairobi, Kenya; Ongeri B.O., Department of Economics, University of Nairobi, Nairobi, Kenya</t>
  </si>
  <si>
    <t>Purpose: Housing finance is frequently difficult to provide in developing nations due to unstable macroeconomic conditions and a lack of supportive legal, technological and regulatory frameworks (Lea and Bernstein, 1996). Governments in these countries have, therefore, created a range of organizations and initiatives to improve the flow of capital to the housing market on a footing that is affordable to their populations given the household income levels (Ram and Needham, 2016). Housing, however, is by its very nature a significant investment requiring a considerable capital outlay at the onset (Dasgupta et al., 2014). This makes acquiring it challenging, particularly in underdeveloped nations where saving tendencies are quite low partly because of low-income levels (Keller and Mukudi-Omwami, 2017). As a result, many developing nations struggle with severe housing issues that lead to slums, overcrowding and related health issues. Design/methodology/approach: The theoretical model for analyzing housing finance in Kenya in this study incorporates both demand and supply aspects, drawing from Brueckner’s (1994) framework. This model divides factors influencing demand into certainty and uncertainty conditions faced by households. In terms of certainty, the model considers factors that households can predict reliably. First is income, households are assumed to have stable income, allowing accurate assessment of budget constraints and mortgage decisions. Second is interest rates. While interest rates fluctuate, the model assumes that households have information about current rates, enabling informed decision-making. Finally, existing housing costs, such as rent or mortgage payments, are treated as fixed and predictable, facilitating accurate budget planning. Conversely, uncertainty factors include future income, future interest rates and housing prices. Households face uncertainty regarding future income, which can impact their mortgage repayment ability due to job market changes or unforeseen events. The model does not predict future interest rate changes, which can affect the affordability of mortgages. Furthermore, future fluctuations in housing prices add uncertainty to the benefits of homeownership and mortgage debt. Due to these uncertainties, the model in this study assumes certainty conditions, focusing on households maximizing their utility. In Brueckner’s model, a utility function captures household preferences and well-being linked to consumption choices, specifically between housing (H) and nonhousing goods (N). The utility function helps determine optimal income allocation, influenced by income (M), prices (P) and return on savings (t). The utility maximization problem involves selecting optimal amounts of housing and nonhousing consumption while managing housing credit (C). Findings: The study confirms a significant long-run relationship between house finance and several macroeconomic variables, including interest rates on credit, inflation, unemployment and gross domestic product (GDP). The negative and significant error correction term indicates the presence of an equilibrium relationship, suggesting that the housing finance market in Kenya self-corrects swiftly in response to economic shocks. This efficiency could be attributed to increasing competition among financial institutions or a growing public awareness of housing finance options, implying a relatively well-developed market. Such responsiveness suggests that government policies aimed at influencing housing finance might have a quicker impact. For instance, introducing subsidies to reduce credit rates could rapidly boost housing finance activity (World Bank, 2019). However, the flip side of a fast-adjusting market is potential volatility, where rapid swings in economic factors could lead to significant fluctuations in housing finance availability, posing risks for both lenders and borrowers (Braun et al., 2022). Moreover, a rapid adjustment might not necessarily reflect a perfectly healthy market; it could indicate underlying issues like speculation or easy access to credit, potentially leading to bubbles or financial instability (Agnello et al., 2020). Originality/value: This study reveals key insights into the determinants of housing finance in Kenya, demonstrating a significant long-run relationship between housing finance and economic variables such as interest rates, inflation, unemployment and GDP. The efficient adjustment of the housing finance market to economic changes suggests that government policies can rapidly influence housing finance, although this responsiveness also implies potential volatility and risks, including financial instability. Policymakers should, therefore, focus on maintaining macroeconomic stability and monitoring the housing market for signs of overheating. Encouraging competition among lenders and diversifying housing finance products can help ensure sustainable market adjustments. Credit interest rates show a modest but positive relationship with housing finance, suggesting that a stable lending environment could stimulate activity. Policymakers should manage credit availability to prevent excessive expansion and instability, enhancing financial inclusion and fostering competition in the banking sector. Inflation positively impacts housing finance, with rising inflation driving demand for real assets like housing. However, significant interest rate hikes by the Central Bank to combat inflation could reduce mortgage affordability. A flexible interest rate policy, along with targeted interventions like subsidized rates for first-time buyers, is necessary to balance market stimulation with inflation control. Unemployment’s negative impact on housing finance underscores the need for robust unemployment benefits and job training initiatives to support financial stability during job losses. Targeted housing finance programs for low- and middle-income earners can also improve mortgage accessibility. The positive correlation between GDP growth and housing finance indicates that economic expansion drives housing demand. Policymakers should prioritize initiatives that promote long-term economic growth, such as infrastructure development and innovation. Finally, the insignificance of savings interest rates in influencing housing finance suggests that traditional monetary policy may have limited effects. Promoting financial literacy and developing tailored savings instruments could strengthen the connection between savings and housing finance over time. © 2024, Emerald Publishing Limited.</t>
  </si>
  <si>
    <t>Housing affordability; Housing finance systems</t>
  </si>
  <si>
    <t>EMERALD PUBLISHING</t>
  </si>
  <si>
    <t>Mohamad Z.Z.; Yang F.C.; Charles Ramendran S.P.R.; Rehman M.; Nee A.Y.H.; Yin Y.C.</t>
  </si>
  <si>
    <t>Mohamad, Zam Zuriyati (57195406383); Yang, Fong Chee (39361238200); Charles Ramendran, S.P.R. (57191202685); Rehman, Mobashar (43061517900); Nee, Au Yong Hui (57218419865); Yin, Yip Chee (56975969200)</t>
  </si>
  <si>
    <t>Embedding eco-friendly and smart technology features in affordable housing for community happiness in Malaysia</t>
  </si>
  <si>
    <t>GEOJOURNAL</t>
  </si>
  <si>
    <t>10.1007/s10708-020-10247-8</t>
  </si>
  <si>
    <r>
      <rPr>
        <u/>
        <sz val="10"/>
        <color rgb="FF000000"/>
        <rFont val="Helvetica Neue"/>
      </rPr>
      <t>https://www.scopus.com/inward/record.uri?eid=2-s2.0-85087082510&amp;doi=10.1007%2fs10708-020-10247-8&amp;partnerID=40&amp;md5=23877e076d7be1303ed04c1d4c9cca7c</t>
    </r>
  </si>
  <si>
    <t>Department of Commerce and Accountancy, Faculty of Business and Finance, Universiti Tunku Abdul Rahman, Petaling Jaya, Malaysia; Department of Business, Faculty of Business and Finance, Universiti Tunku Abdul Rahman, Petaling Jaya, Malaysia; Department of Information Systems, Faculty of Information and Communication Technology, Universiti Tunku Abdul Rahman, Petaling Jaya, Malaysia; Department of Economics, Faculty of Business and Finance, Universiti Tunku Abdul Rahman, Petaling Jaya, Malaysia</t>
  </si>
  <si>
    <t>Mohamad Z.Z., Department of Commerce and Accountancy, Faculty of Business and Finance, Universiti Tunku Abdul Rahman, Petaling Jaya, Malaysia; Yang F.C., Department of Business, Faculty of Business and Finance, Universiti Tunku Abdul Rahman, Petaling Jaya, Malaysia; Charles Ramendran S.P.R., Department of Business, Faculty of Business and Finance, Universiti Tunku Abdul Rahman, Petaling Jaya, Malaysia; Rehman M., Department of Information Systems, Faculty of Information and Communication Technology, Universiti Tunku Abdul Rahman, Petaling Jaya, Malaysia; Nee A.Y.H., Department of Economics, Faculty of Business and Finance, Universiti Tunku Abdul Rahman, Petaling Jaya, Malaysia; Yin Y.C., Department of Economics, Faculty of Business and Finance, Universiti Tunku Abdul Rahman, Petaling Jaya, Malaysia</t>
  </si>
  <si>
    <t>Two phases of study are involved in this research: first, the sales strategies for affordable houses embedded with eco-friendly and smart technology features; and second, the impact of such houses on community happiness in Malaysia. Compared to other studies that focus on the concept of affordable housing, this study proposed a new research perspective on how eco-friendly features and smart technologies can be embedded into the affordable house to achieve community happiness. Qualitative data was collected from four focus group discussions and six face-to-face interviews. Thematic analysis was performed to generate the outcomes. It was notable that affordable price, strategic location, effective government policies, fostering pro-environmental behaviour, promotion and easy smart-home technology installation play an important role in selling the affordable eco-friendly smart house. It was further found that affordable eco-friendly smart housing will result in community happiness. This study offers new knowledge to the affordable house research area by exploring strategies to include eco-friendly and smart technology features. The urge to have these technologies was driven by the demand for current community lifestyle and happiness. This research contributes to the sustainable development goals programme by considering housing affordability, the environment, energy saving and technologies in a single study. It is also beneficial to socio-economic development as it proposes balanced sales strategies that involve social and economic aspects. The inductive approach aims to provide a theoretical framework for future researchers. © 2020, Springer Nature B.V.</t>
  </si>
  <si>
    <t>Affordable house; Community happiness; Eco-friendly; Smart home technologies; Thematic analysis</t>
  </si>
  <si>
    <t>MALAYSIA; AUTOMATION; ECONOMIC AND SOCIAL EFFECTS; ECONOMICS; ENERGY CONSERVATION; ENVIRONMENTAL PROTECTION; ENVIRONMENTAL TECHNOLOGY; HOUSES; INTELLIGENT BUILDINGS; PLANNING; SALES; AFFORDABLE HOUSING; FACE-TO-FACE INTERVIEW; HOUSING AFFORDABILITY; SMART HOME TECHNOLOGY; SOCIO-ECONOMIC DEVELOPMENT; STRATEGIC LOCATIONS; THEMATIC ANALYSIS; THEORETICAL FRAMEWORK; AFFORDABLE HOUSING; HOUSING; INSTALLATION; LIFESTYLE; SOCIOECONOMIC CONDITIONS; SUSTAINABLE DEVELOPMENT GOAL; SUSTAINABLE DEVELOPMENT</t>
  </si>
  <si>
    <t>SPRINGER SCIENCE AND BUSINESS MEDIA DEUTSCHLAND GMBH</t>
  </si>
  <si>
    <t>GeoJournal</t>
  </si>
  <si>
    <t>Nguyen M.T.; Rohe W.M.; Cowan S.M.</t>
  </si>
  <si>
    <t>Nguyen, Mai Thi (36937671400); Rohe, William M. (7003545910); Cowan, Spencer Morris (8368218700)</t>
  </si>
  <si>
    <t>Entrenched hybridity in public housing agencies in the USA</t>
  </si>
  <si>
    <t>10.1080/02673037.2012.677998</t>
  </si>
  <si>
    <r>
      <rPr>
        <u/>
        <sz val="10"/>
        <color rgb="FF000000"/>
        <rFont val="Helvetica Neue"/>
      </rPr>
      <t>https://www.scopus.com/inward/record.uri?eid=2-s2.0-84868147099&amp;doi=10.1080%2f02673037.2012.677998&amp;partnerID=40&amp;md5=7093c50ed8f061a53c8cd26ecf5dcf34</t>
    </r>
  </si>
  <si>
    <t>Department of City and Regional Planning, University of North Carolina at Chapel Hill, Chapel Hill, NC 27599, 313 New East Building, CB 3140, United States; Center for Urban and Regional Studies, University of North Carolina at Chapel Hill, Chapel Hill, NC, United States</t>
  </si>
  <si>
    <t>Nguyen M.T., Department of City and Regional Planning, University of North Carolina at Chapel Hill, Chapel Hill, NC 27599, 313 New East Building, CB 3140, United States; Rohe W.M., Department of City and Regional Planning, University of North Carolina at Chapel Hill, Chapel Hill, NC 27599, 313 New East Building, CB 3140, United States; Cowan S.M., Center for Urban and Regional Studies, University of North Carolina at Chapel Hill, Chapel Hill, NC, United States</t>
  </si>
  <si>
    <t>In this paper, we build on the extant literature on housing social enterprises and hybrid models of public housing delivery. We trace the evolution of US housing policy toward greater hybridity, focusing on three dimensions of hybridity. Drawing from a case study of the Charlotte Housing Authority in North Carolina, we showcase two housing programs, HOPE VI and Moving to Work, in order to highlight current innovations in the provision of housing for low-income populations and the entrenched hybridity that is evident. Using this information, we address two main questions: (1) how do local public housing agencies collaborate with the Federal government, private developers, and non-profit service providers to fund, construct, and manage affordable rental housing? and (2) what are the benefits and challenges of hybrid models of affordable rental housing delivery within the US context?. © 2012 Taylor &amp; Francis.</t>
  </si>
  <si>
    <t>Housing affordability; Housing supply; Hybridity; Public housing agencies; Social enterprise; Social housing</t>
  </si>
  <si>
    <t>NORTH CAROLINA; UNITED STATES; AFFORDABLE HOUSING; GOVERNMENT RELATIONS; HOUSING POLICY; HOUSING PROVISION; LOW INCOME POPULATION; RENTAL SECTOR; SOCIAL HOUSING</t>
  </si>
  <si>
    <t>Tozer L.; Baggio G.; Kantamneni A.; MacRae H.</t>
  </si>
  <si>
    <t>Tozer, Laura (55513010500); Baggio, Guilherme (57224640987); Kantamneni, Abhilash (56825981800); MacRae, Hannah (58370135800)</t>
  </si>
  <si>
    <t>Equity-based energy retrofits to address energy poverty in Canada</t>
  </si>
  <si>
    <t>ENERGY POLICY</t>
  </si>
  <si>
    <t>10.1016/j.enpol.2024.114341</t>
  </si>
  <si>
    <r>
      <rPr>
        <u/>
        <sz val="10"/>
        <color rgb="FF000000"/>
        <rFont val="Helvetica Neue"/>
      </rPr>
      <t>https://www.scopus.com/inward/record.uri?eid=2-s2.0-85204456879&amp;doi=10.1016%2fj.enpol.2024.114341&amp;partnerID=40&amp;md5=9707c5a7950c9de2469e0abf184f0a4c</t>
    </r>
  </si>
  <si>
    <t>University of Toronto, Canada; Efficiency Canada, Canada</t>
  </si>
  <si>
    <t>Tozer L., University of Toronto, Canada; Baggio G., University of Toronto, Canada; Kantamneni A., Efficiency Canada, Canada; MacRae H., University of Toronto, Canada</t>
  </si>
  <si>
    <t>Many energy efficiency and decarbonization retrofit programs aim to alleviate energy poverty by targeting low-income households, but these programs do not always address the multiple determinants of energy poverty. This study develops a vulnerability-based framework to explore the extent to which energy retrofit programs designed for low-income households comprehensively account for socioeconomic, demographic, and cultural structures that shape energy poverty experiences, employing Canada as an empirical case study using key informant interviews with program administrators. The framework conceptualizes energy poverty as the vulnerability to future housing-related harms, amplified by energy-related risk factors, and conditioned by a household's inability to adequately respond. The study finds several key issues limiting the capacity of low-income retrofit programs to address the overlapping and compounding determinants of energy poverty, including inadequate funding, exclusion of the poorest quality housing, limited retrofit options, and a narrow focus on energy efficiency gains. This study shows key opportunities to expand and deepen the current ecosystem of low-income retrofit programs by expanding existing policy innovations. The paper also offers suggestions for widening the policy arena to address energy poverty, both within retrofit programs and beyond. © 2024 Elsevier Ltd</t>
  </si>
  <si>
    <t>Affordability; Decarbonization; Energy poverty; Equity; Low-income; Retrofits</t>
  </si>
  <si>
    <t>CANADA; AFFORDABILITY; DECARBONISATION; ENERGY; ENERGY POVERTIES; ENERGY RETROFIT; EQUITY; LOW INCOMES; RETROFIT; RETROFIT PROGRAMS; SOCIO-ECONOMICS; CONCEPTUAL FRAMEWORK; EMPIRICAL ANALYSIS; ENERGY EFFICIENCY; ENERGY RESOURCE; LOW INCOME POPULATION; VULNERABILITY</t>
  </si>
  <si>
    <t>Energy Policy</t>
  </si>
  <si>
    <t>Kavishe N.; Jefferson I.; Chileshe N.</t>
  </si>
  <si>
    <t>Kavishe, Neema (57189838244); Jefferson, Ian (55939875500); Chileshe, Nicholas (12808688300)</t>
  </si>
  <si>
    <t>Evaluating issues and outcomes associated with public–private partnership housing project delivery: Tanzanian practitioners’ preliminary observations</t>
  </si>
  <si>
    <t>INTERNATIONAL JOURNAL OF CONSTRUCTION MANAGEMENT</t>
  </si>
  <si>
    <t>10.1080/15623599.2018.1435154</t>
  </si>
  <si>
    <r>
      <rPr>
        <u/>
        <sz val="10"/>
        <color rgb="FF000000"/>
        <rFont val="Helvetica Neue"/>
      </rPr>
      <t>https://www.scopus.com/inward/record.uri?eid=2-s2.0-85042224045&amp;doi=10.1080%2f15623599.2018.1435154&amp;partnerID=40&amp;md5=9590f9e6f352d837c9c81bec52be933d</t>
    </r>
  </si>
  <si>
    <t>School of Architecture, Construction Economics and Management (SACEM), Ardhi University, Dar es Salaam, Tanzania; School of Civil Engineering, University of Birmingham, Birmingham, United Kingdom; School of Natural and Built Environments, University of South Australia, Adelaide, Australia</t>
  </si>
  <si>
    <t>Kavishe N., School of Architecture, Construction Economics and Management (SACEM), Ardhi University, Dar es Salaam, Tanzania; Jefferson I., School of Civil Engineering, University of Birmingham, Birmingham, United Kingdom; Chileshe N., School of Natural and Built Environments, University of South Australia, Adelaide, Australia</t>
  </si>
  <si>
    <t>Public–private partnerships (PPPs) are being viewed as the next best alternative procurement option in the construction sector, particularly in developing countries such as Tanzania. This preliminary study aims to investigate the following aspects of PPP (PPPH) housing project delivery: (1) cost and affordability; (2) the influence of sustainability factors; and (3) the associated benefits which, despite the plethora of PPP-related studies, few have specifically examined. To achieve these objectives, a questionnaire survey was conducted with 28 stakeholders from Tanzania. Frequency analysis and one-sample t-tests were used to rank and identify the significant factors and outcomes of HPPP adoption. The most critical cost and affordability factors were that PPP procurement: (1) is economical compared to traditional methods; (2) offers value for money; and (3) can facilitate affordable housing supply outcomes. The major sustainability factors were beginning sustainability assessment from the feasibility stage and considering sustainability in project viability evaluation. Encouraging private sector innovation and management skills, risk sharing and value for money were found to be among HPPP delivery benefits. These findings provide insights for PPP policy and practitioners in understanding the significant factors in PPPH delivery. © 2018, © 2018 Informa UK Limited, trading as Taylor &amp; Francis Group.</t>
  </si>
  <si>
    <t>benefits; cost and affordability; Housing projects; public and private agencies; public–private partnerships (PPPs); sustainability; Tanzania</t>
  </si>
  <si>
    <t>Int. J. Constr. Manage.</t>
  </si>
  <si>
    <t>Said R.; Sulaimi M.; Majid R.A.; Aini A.M.; Olanrele O.O.; Akinsomi O.</t>
  </si>
  <si>
    <t>Said, Rosli (56224144800); Sulaimi, Mardhiati (58895362600); Majid, Rohayu Ab (56223665600); Aini, Ainoriza Mohd (55800363800); Olanrele, Olusegun Olaopin (56340143000); Akinsomi, Omokolade (56330129000)</t>
  </si>
  <si>
    <t>EVALUATING MARKET ATTRIBUTES AND HOUSING AFFORDABILITY: GAINING PERSPECTIVE ON FUTURE VALUE TRENDS</t>
  </si>
  <si>
    <t>REAL ESTATE MANAGEMENT AND VALUATION</t>
  </si>
  <si>
    <t>10.2478/remav-2024-0027</t>
  </si>
  <si>
    <r>
      <rPr>
        <u/>
        <sz val="10"/>
        <color rgb="FF000000"/>
        <rFont val="Helvetica Neue"/>
      </rPr>
      <t>https://www.scopus.com/inward/record.uri?eid=2-s2.0-85195842323&amp;doi=10.2478%2fremav-2024-0027&amp;partnerID=40&amp;md5=d1a9ed3c8e6c17fb918a1e72d362e622</t>
    </r>
  </si>
  <si>
    <t>Faculty of Built Environment, Universiti Malaya, Kuala Lumpur, 50603, Malaysia; College of Built Environment, Universiti Teknologi Mara, Selangor Darul Ehsan, Shah Alam, 40450, Malaysia; School of Construction Economics and Management, University of the Witwatersrand, 1 Jan Smuts Ave, Braamfontein, Johannesburg, 2017, South Africa</t>
  </si>
  <si>
    <t>Said R., Faculty of Built Environment, Universiti Malaya, Kuala Lumpur, 50603, Malaysia; Sulaimi M., Faculty of Built Environment, Universiti Malaya, Kuala Lumpur, 50603, Malaysia; Majid R.A., College of Built Environment, Universiti Teknologi Mara, Selangor Darul Ehsan, Shah Alam, 40450, Malaysia; Aini A.M., Faculty of Built Environment, Universiti Malaya, Kuala Lumpur, 50603, Malaysia; Olanrele O.O., Faculty of Built Environment, Universiti Malaya, Kuala Lumpur, 50603, Malaysia; Akinsomi O., School of Construction Economics and Management, University of the Witwatersrand, 1 Jan Smuts Ave, Braamfontein, Johannesburg, 2017, South Africa</t>
  </si>
  <si>
    <t>This study fills a significant research gap in Malaysian government-led homeownership and affordability. Centered on crucial market attributes influencing these initiatives, insights from low-income groups were obtained. The primary aim of this study was to assess the importance of various market attributes on government homeownership initiatives in Malaysia. The data were collected from low-income groups using a structured questionnaire, providing valuable insights into the unique challenges faced by this demographic. A Relative Importance Index (RII) was employed to analyze the data, revealing that Financial Market Factors, Household Financial Capacity, Housing Affordability and Accessibility, and Government Housing Policies were the market attributes of the highest importance in shaping government homeownership efforts. The results of the exploratory factor analysis demonstrated that the Financial Market Factor was the most influential component, as indicated by its mean rank. This study sought to incorporate the valuable perspectives of respondents regarding integrating future value into financing models. Respondents' opinions reflected a significant level of support for such innovative approaches. This study examines the crucial market attributes influencing government homeownership initiatives in Malaysia. The findings underline the potential of incorporating future value into financing models to enhance housing affordability for low-income groups and promote broader homeownership objectives. © 2024 Rosli Said et al., published by Sciendo.</t>
  </si>
  <si>
    <t>financing model; homeownership; mortgage loan; real estate market</t>
  </si>
  <si>
    <t>Real Estate Manag. Valuat.</t>
  </si>
  <si>
    <t>Minh N.Q.</t>
  </si>
  <si>
    <t>Minh, Nguyen Quang (57190005375)</t>
  </si>
  <si>
    <t>Exploring social dimensions of achieving energy efficiency in urban housing design-a case study from hanoi (Vietnam)</t>
  </si>
  <si>
    <t>INTERNATIONAL JOURNAL OF SUSTAINABLE CONSTRUCTION ENGINEERING AND TECHNOLOGY</t>
  </si>
  <si>
    <t>10.30880/ijscet.2021.12.01.023</t>
  </si>
  <si>
    <r>
      <rPr>
        <u/>
        <sz val="10"/>
        <color rgb="FF000000"/>
        <rFont val="Helvetica Neue"/>
      </rPr>
      <t>https://www.scopus.com/inward/record.uri?eid=2-s2.0-85107397588&amp;doi=10.30880%2fijscet.2021.12.01.023&amp;partnerID=40&amp;md5=224b93c12bab1da8b48c9885dec289a6</t>
    </r>
  </si>
  <si>
    <t>National University of Civil Engineering, 55 Giai Phong Road, Hanoi, 10000, Viet Nam</t>
  </si>
  <si>
    <t>Minh N.Q., National University of Civil Engineering, 55 Giai Phong Road, Hanoi, 10000, Viet Nam</t>
  </si>
  <si>
    <t>Achieving energy efficiency is widely regarded as the first bold step in paving the way for sustainable architecture to take shape. In Vietnam, energy efficiency has been mostly considered in technical aspects so far. Social dimensions, which are equally essential in the context of such a fast-developing country as Vietnam, have not yet been properly investigated. In fact, research projects only deal with affordability, amortisation and difficulties to overcome in view of state management and energy policy making. However, actually, social dimensions cover a much broader spectrum than what many people often imagine. Thus, by means of surveys, analyses of data and interviews, the author examines the following social issues of using energy at building level with 190 households in Hanoi: awareness of the importance of saving energy and using renewable energy at home, users’ behaviour and application of (and readiness for) more energy-efficient solutions and obstacles on the way to achieve energy efficiency. The results and arguments will help planners, designers and engineers understand better the current situation before trying to take action in order to meet the public demand in urban housing design and management towards energy efficiency. In this regard, public awareness plays a key role, but having input data for a more efficient housing design and a better project management policy is also very important, requiring a more systematic and larger-scale study on household energy use. Without digitalisation as a new method of site surveying and data collecting, this aim might never be fulfilled. © Universiti Tun Hussein Onn Malaysia Publisher’s Office.</t>
  </si>
  <si>
    <t>Digitalisation; Energy efficiency; Hanoi; Public awareness; Solutions; Urban housing design and management; Users’ behaviour</t>
  </si>
  <si>
    <t>PENERBIT UTHM</t>
  </si>
  <si>
    <t>Int. J. Sustain. Constr. Eng. Technol.</t>
  </si>
  <si>
    <t>Wynia Baluk K.; Detlor B.; La Rose T.; Alfaro-Laganse C.</t>
  </si>
  <si>
    <t>Wynia Baluk, Kaitlin (57219744364); Detlor, Brian (6602236601); La Rose, Tara (35177581100); Alfaro-Laganse, Carmela (57190695982)</t>
  </si>
  <si>
    <t>Exploring the Digital Literacy Needs and Training Preferences of Older Adults Living in Affordable Housing</t>
  </si>
  <si>
    <t>JOURNAL OF TECHNOLOGY IN HUMAN SERVICES</t>
  </si>
  <si>
    <t>10.1080/15228835.2023.2239310</t>
  </si>
  <si>
    <r>
      <rPr>
        <u/>
        <sz val="10"/>
        <color rgb="FF000000"/>
        <rFont val="Helvetica Neue"/>
      </rPr>
      <t>https://www.scopus.com/inward/record.uri?eid=2-s2.0-85165879616&amp;doi=10.1080%2f15228835.2023.2239310&amp;partnerID=40&amp;md5=ae9d7b885cd9cbc4669e31cba412c1f1</t>
    </r>
  </si>
  <si>
    <t>DeGroote School of Business–Information Systems, Hamilton, Canada; School of Social Work, McMaster University, Hamilton, Canada; School of the Arts, McMaster University, Hamilton, Canada</t>
  </si>
  <si>
    <t>Wynia Baluk K., DeGroote School of Business–Information Systems, Hamilton, Canada; Detlor B., DeGroote School of Business–Information Systems, Hamilton, Canada; La Rose T., School of Social Work, McMaster University, Hamilton, Canada; Alfaro-Laganse C., School of the Arts, McMaster University, Hamilton, Canada</t>
  </si>
  <si>
    <t>This article reports on research about the digital literacy needs and training preferences of older adults living in affordable housing. Partnering with a Canadian public library and affordable housing corporation, we conducted a thematic analysis of interviews with 15 seniors in affordable housing. The analysis indicates that these seniors need training that is adaptable to an individual’s interests, promotes confidence, and addresses financial barriers to using information and communication technologies effectively. Findings affirm the value of accessible training located within seniors’ social networks. Drawing on critical gerontology, we discuss practical and policy implications for public libraries and affordable housing networks. © 2023 Taylor &amp; Francis Group, LLC.</t>
  </si>
  <si>
    <t>Affordable housing; digital empowerment; digital inclusion; digital literacy; information and communication technologies; low-income; older adults; public libraries; seniors</t>
  </si>
  <si>
    <t>AGED; ARTICLE; DRAWING; EMPOWERMENT; FEMALE; GERONTOLOGY; HOUSING AFFORDABILITY; HUMAN; HUMAN EXPERIMENT; INTERNET LITERACY; INTERVIEW; LIBRARY; LOWEST INCOME GROUP; MALE; SOCIAL NETWORK; THEMATIC ANALYSIS</t>
  </si>
  <si>
    <t>J. Technol. Hum. Serv.</t>
  </si>
  <si>
    <t>Ríos O.L.; Lechuga M.</t>
  </si>
  <si>
    <t>Ríos, Olga Lopez (57215293127); Lechuga, Miguel (55538931500)</t>
  </si>
  <si>
    <t>Fair e-Government strategies for digital illiterate population</t>
  </si>
  <si>
    <t>PROCEEDINGS OF THE EUROPEAN CONFERENCE ON E-GOVERNMENT, ECEG</t>
  </si>
  <si>
    <r>
      <rPr>
        <u/>
        <sz val="10"/>
        <color rgb="FF000000"/>
        <rFont val="Helvetica Neue"/>
      </rPr>
      <t>https://www.scopus.com/inward/record.uri?eid=2-s2.0-84871658407&amp;partnerID=40&amp;md5=6dd6b32dab9ac9b682639e8c75b81510</t>
    </r>
  </si>
  <si>
    <t>Instituto Tecnológico y de Estudios Superiores de Monterrey, Mexico</t>
  </si>
  <si>
    <t>Ríos O.L., Instituto Tecnológico y de Estudios Superiores de Monterrey, Mexico; Lechuga M., Instituto Tecnológico y de Estudios Superiores de Monterrey, Mexico</t>
  </si>
  <si>
    <t>This paper discusses the context of the digital division in Mexico; the barriers to access information technologies (IT) are not only technological but rather socioeconomic and historical. Mexico as most of emergent economies has big disparities in income distribution, unequal opportunities to access all kind of basic services in education, housing,health, information etc., are common in large segments of the population. The income distribution divides the population in two big sectors: one characterized by extreme poverty,as a proof of its dimensions, 40 million poor people constitutes the biggest challenge tointegrate Mexican population in the digital era. Our approach is to explore difficulties and exhibit one mechanism of how to integrate part of these underprivileged citizens in actual and future e-government actions, taking in account their needs, participation and culture. In the scope of reversing the digital divide the e-government's service delivery channels have been multiplied in last years, we briefly discus the principal issues of the e-Mexico program. Due to poverty trap affordability and benefits of the e-government actions are still not evident for most part of the citizen, in this sense e-government policies are unfair vis-à-vis of most part of population. Analyzing marginality and the Mexican demography we present, by means of a simple simulation model, a projection to the year 2050 of how could Mexican government be able to progressively stop the digital breach, the model shows that acting in the primary scholar sector we could reverse the digital division by simply extending the new e-government programs which have shown effectiveness in their first steps, like the Enciclomedia program, educational digital effort addressed to children during their basic instruction. We focus the Enciclomedia program and present it as one of the "waves" of change addressing the Mexican socioeconomic problem, being education the vehicle to entrance to major opportunities for employment, wages and housing.</t>
  </si>
  <si>
    <t>Education; Enciclomedia; Fair; Illiterate; Poverty</t>
  </si>
  <si>
    <t>COMPUTER SIMULATION; ECONOMICS; EDUCATION; HOUSING; INFORMATION TECHNOLOGY; POPULATION DISTRIBUTION; PUBLIC POLICY; DIGITAL DIVIDE; DIGITAL ERA; E-GOVERNMENT; E-MEXICO; ENCICLOMEDIA; FAIR; ILLITERATE; INCOME DISTRIBUTION; ME-XICO; POVERTY; SERVICE DELIVERY; SIMULATION MODEL; SOCIO-ECONOMIC PROBLEMS; GOVERNMENT DATA PROCESSING</t>
  </si>
  <si>
    <t>Proc.  European Conf. on e-Gov., ECEG</t>
  </si>
  <si>
    <t>Sandhu K.</t>
  </si>
  <si>
    <t>Sandhu, Kiran (55781712400)</t>
  </si>
  <si>
    <t>Formal housing finance outreach and the urban poor in India</t>
  </si>
  <si>
    <t>10.1108/IJHMA-08-2012-0040</t>
  </si>
  <si>
    <r>
      <rPr>
        <u/>
        <sz val="10"/>
        <color rgb="FF000000"/>
        <rFont val="Helvetica Neue"/>
      </rPr>
      <t>https://www.scopus.com/inward/record.uri?eid=2-s2.0-84879714174&amp;doi=10.1108%2fIJHMA-08-2012-0040&amp;partnerID=40&amp;md5=672875c36d29e7f8ea79deaa7e6f54c2</t>
    </r>
  </si>
  <si>
    <t>Guru Ramdas School of Planning, Guru Nanak Dev University, Amritsar, India</t>
  </si>
  <si>
    <t>Sandhu K., Guru Ramdas School of Planning, Guru Nanak Dev University, Amritsar, India</t>
  </si>
  <si>
    <t>Purpose: Access to housing remains high on the agenda of the governments in the developing countries. One of the responses to low income housing access is by making the housing finance conduits reachable to the poor. But is this objective really achieved? The purpose of the research paper is to evaluate the access of formal housing finance specifically in the context of the urban poor in India. Design/methodology/approach: The purpose of the research is achieved by conducting a review into the available literature as well as drawing inferences from data in order to support the argument that the formal housing finance structures in India are failing to deliver to a majority of the population and primarily the urban poor when it comes to providing access to equitable housing. The paper uses qualitative method of research and analysis and presents the analysis in a descriptive approach. Findings: Based upon a comprehensive review of literature in terms of work of other authors, reports and documents, the paper generates evidence and critically examines the context of housing finance provision for the urban poor in India. It is found that the housing finance set-up favours the higher income groups and sidelines the low income groups, largely due to the prerequisites for accessing housing finance. Practical implications: The research is perceived to be useful to policymakers and government organizations engaged in social housing to reflect on the fact that despite efforts, the outreach of finance is not adequate. It shall motivate them to re-examine their credit policies and devise innovative mechanisms for housing finance delivery to the low income groups. Originality/value: The paper presents a thorough and critical review of the housing finance structure with focus on the urban poor using current trends. It reflects on the issues and evidence so generated during research. The paper shall be useful to researchers in social housing and housing finance as well as decision makers in the Government in India and as a reference case for other countries in the developing world. © Emerald Group Publishing Limited.</t>
  </si>
  <si>
    <t>Developing countries; Housing; Housing affordability; Housing finance systems; India; Urban areas</t>
  </si>
  <si>
    <t>Dok-Yen D.M.; Duah D.Y.A.; Addy M.N.</t>
  </si>
  <si>
    <t>Dok-Yen, David Mbabil (58198942600); Duah, Daniel Yaw Addai (55979921800); Addy, Michael Nii (56441065600)</t>
  </si>
  <si>
    <t>Frugal Innovation a Game Changer to Sustainable Affordable Housing A Bibliometrics and Systematic Review</t>
  </si>
  <si>
    <t>INTERNATIONAL REVIEW FOR SPATIAL PLANNING AND SUSTAINABLE DEVELOPMENT</t>
  </si>
  <si>
    <t>10.14246/irspsd.11.2_199</t>
  </si>
  <si>
    <r>
      <rPr>
        <u/>
        <sz val="10"/>
        <color rgb="FF000000"/>
        <rFont val="Helvetica Neue"/>
      </rPr>
      <t>https://www.scopus.com/inward/record.uri?eid=2-s2.0-85153743236&amp;doi=10.14246%2firspsd.11.2_199&amp;partnerID=40&amp;md5=b20a046bc4c0d7084bf276261fe72f78</t>
    </r>
  </si>
  <si>
    <t>Department of Building Technology, Tamale Technical University, Ghana; Department of Architecture, Kwame Nkrumah University of Science and Technology, Ghana; Department of Construction Technology and Management, Kwame Nkrumah University of Science and Technology, Ghana</t>
  </si>
  <si>
    <t>Dok-Yen D.M., Department of Building Technology, Tamale Technical University, Ghana; Duah D.Y.A., Department of Architecture, Kwame Nkrumah University of Science and Technology, Ghana; Addy M.N., Department of Construction Technology and Management, Kwame Nkrumah University of Science and Technology, Ghana</t>
  </si>
  <si>
    <t>Globally the demand for housing is far more than supply, resulting to 100 million+ been homeless and with one billion people living in inadequate homes. In addition, recent world crisis such as high rural urban migration, natural disasters like the Syria-Turkey earth quake, flooding, conflicts such as the ongoing Russia-Urkraine war, COVID-19 protocols of social distance and isolation, etc. exacerbates the housing deficit. Whilst the current approach to housing especially in developing countries concentrates on convention unsustainable approach to affordable housing delivery. With the few sustainable housing development attempts been far luxurious beyond average Ghanaian affordability. This research seeks to contribute to address housing deficit problems using frugal Innovation (FI) as a game changer to sustainable affordable housing (SAH) through a bibliometrics and a systematic review study. With regards to financial, resource-constrained, significant cost reductions over existing options and sustainable solutions, one idea currently gaining traction is frugal innovation (FI). It is more affordable than the conventional approach to development and can convert constraint into opportunity in a sustainable manner, as well as have a direct link to sustainable affordable development. Search for this study was on all disciplines with publications linked to frugal innovation and sustainable affordable housing limited to only online articles, conference publications, books, and other materials published in English on Scopus, science direct, and Google Scholar. The finding revealed, FI is a combination of all similar innovations, under one umbrella to serve the underserved bottom-of-the-pyramid (BOP) market, making it superior to other forms of innovation. This study will contribute significantly to improving the policy direction of stakeholders in an attempt to reduce the housing deficit in Ghana and other developing countries globally. In addition, it will contribute to the UN-SDGs and UN-Habitat policymakers on the sustainable cities 2030 agenda © This open access article is published under a Creative Commons [Attribution-NonCommercial-NoDerivatives 4.0 International] license. https://creativecommons.org/licenses/by-nc-nd/4.0/</t>
  </si>
  <si>
    <t>Affordable; Frugal innovation; Housing; Sustainability</t>
  </si>
  <si>
    <t>GHANA; AFFORDABLE HOUSING; DEVELOPING WORLD; INNOVATION; RESIDENTIAL DEVELOPMENT; STAKEHOLDER; SUSTAINABILITY</t>
  </si>
  <si>
    <t>SPSD PRESS</t>
  </si>
  <si>
    <t>Int. Rev. Spatial Plan. Sustain. Dev.</t>
  </si>
  <si>
    <t>MacAskill S.; Sahin O.; Stewart R.; Roca E.; Liu B.</t>
  </si>
  <si>
    <t>MacAskill, S. (57211585976); Sahin, O. (35749183900); Stewart, R. (58023802000); Roca, E. (7006297611); Liu, B. (55559202600)</t>
  </si>
  <si>
    <t>Green, affordable housing: Enhancing residential operational utility efficiency for low-income households. A integrated systems thinking approach</t>
  </si>
  <si>
    <t>PROCEEDINGS - 22ND INTERNATIONAL CONGRESS ON MODELLING AND SIMULATION, MODSIM 2017</t>
  </si>
  <si>
    <r>
      <rPr>
        <u/>
        <sz val="10"/>
        <color rgb="FF000000"/>
        <rFont val="Helvetica Neue"/>
      </rPr>
      <t>https://www.scopus.com/inward/record.uri?eid=2-s2.0-85080862997&amp;partnerID=40&amp;md5=053cf864085d6766db9b92e6f8f3befb</t>
    </r>
  </si>
  <si>
    <t>CITIES Research Institute, Griffith University School of Engineering, QLD, Australia; Griffith University School of Business, QLD, Australia</t>
  </si>
  <si>
    <t>MacAskill S., CITIES Research Institute, Griffith University School of Engineering, QLD, Australia, Griffith University School of Business, QLD, Australia; Sahin O., CITIES Research Institute, Griffith University School of Engineering, QLD, Australia; Stewart R., CITIES Research Institute, Griffith University School of Engineering, QLD, Australia; Roca E., Griffith University School of Business, QLD, Australia; Liu B., Griffith University School of Business, QLD, Australia</t>
  </si>
  <si>
    <t>Housing affordability subsidies to low and middle income households consistently represent an approximate annual expenditure in excess of $1.9 billion AUD to the Australian taxpayer. The National Rental Affordability Scheme (NRAS) is being phased out, presenting an opportunity to innovate for polices which are targeted to the amelioration of ‘housing stress’ for low-middle income households. Escalating energy and water expenses are increasing net housing costs for average Australian households at a rate in excess of the consumer price index. By metrics of ‘housing stress’- low and middle income households are most affected. Whilst escalating utility rates apply increasing pressure on households bottom line, conversely, investments made in operational efficiency improvements early in a buildings lifecycle improve the overall net present value proposition when looking at ongoing government housing affordability subsidies as a system. Developers and landlords have been reluctant to invest in ‘Green building’ principles for low-middle income rental developments due to a lack of incentive. In an era of globally compressing bond yields, the emergence alternate ‘low-carbon’ funding sources (ie. Green Bonds) present an opportunity to channel a burgeoning ‘Socially Responsible Investment’ (SRI) portfolio from institutional investors towards the affordable housing problem, whilst promoting a national effort towards a ‘green economy’ and carbon-reduction commitments made under the UN Framework Convention(s) on Climate Change. This opportunity is particularly relevant when backed by government. The success of the adoption of NRAS by the private (and later) institutional sector has demonstrated that there is a strong appetite for long term (10 year fixed income) government backed policies offering a reliable (and arguably generous) return on investment for those dwellings accepted into the NRAS pool. Data has been analysed for an average Brisbane apartment building, suitable to low-middle income households. At current utility escalation rates (not inclusive of connection fees), utility consumption costs borne by the tenant comprise approximately 8-15% (1 to 3-bedroom units respectively) of total housing costs over a 10 year period (2016-2026). An initial investment into green building principles (such as operationally efficient lighting, appliances) from the beginning of the period can reduce these costs by 1.7-3.8% respectively. The study found that these ‘green’ ‘low carbon’ improvements could be offset through the effective use of low interest debt- particularly via the issuance of a government backed ‘Green Bond’. This paper shall expand upon this analysis, testing a variety of scenarios with systems dynamics. The complex interconnection between the variety of stakeholders involved in the delivery and management of social/affordable housing developments in Australia will be explored. These main stakeholders include Government (Federal, Local and State), Developers, Investors (private and institutional) and Tenants. © 2017 Proceedings - 22nd International Congress on Modelling and Simulation, MODSIM 2017. All rights reserved.</t>
  </si>
  <si>
    <t>Green economy; Housing stress; Low income housing; National Rental Affordability Scheme</t>
  </si>
  <si>
    <t>APARTMENT HOUSES; CARBON; CLIMATE CHANGE; ECONOMIC AND SOCIAL EFFECTS; ECONOMICS; INVESTMENTS; LIFE CYCLE; OPERATIONS RESEARCH; RISK ASSESSMENT; TAXATION; GREEN ECONOMIES; HOUSING AFFORDABILITY; HOUSING STRESS; INSTITUTIONAL INVESTORS; LOW-INCOME HOUSING; NATIONAL RENTAL AFFORDABILITY SCHEME; OPERATIONAL EFFICIENCIES; SOCIALLY RESPONSIBLE INVESTMENTS; COSTS</t>
  </si>
  <si>
    <t>MODELLING AND SIMULATION SOCIETY OF AUSTRALIA AND NEW ZEALAND INC. (MSSANZ)</t>
  </si>
  <si>
    <t>Proc. - Int. Congr. Model. Simul., MODSIM</t>
  </si>
  <si>
    <t>Heffernan E.; Wilde P.D.</t>
  </si>
  <si>
    <t>Heffernan, Emma (56017636300); Wilde, Pieter de (57210772136)</t>
  </si>
  <si>
    <t>Group self-build housing: A bottom-up approach to environmentally and socially sustainable housing</t>
  </si>
  <si>
    <t>JOURNAL OF CLEANER PRODUCTION</t>
  </si>
  <si>
    <t>10.1016/j.jclepro.2019.118657</t>
  </si>
  <si>
    <r>
      <rPr>
        <u/>
        <sz val="10"/>
        <color rgb="FF000000"/>
        <rFont val="Helvetica Neue"/>
      </rPr>
      <t>https://www.scopus.com/inward/record.uri?eid=2-s2.0-85072761404&amp;doi=10.1016%2fj.jclepro.2019.118657&amp;partnerID=40&amp;md5=914748ed4f455f51dfc30180b6f9230a</t>
    </r>
  </si>
  <si>
    <t>School of Civil, Mining and Environmental Engineering, University of Wollongong, 2522, NSW, Australia; School of Architecture Design and Environment, Plymouth University, Drake Circus, Plymouth, PL4 8AA, United Kingdom</t>
  </si>
  <si>
    <t>Heffernan E., School of Civil, Mining and Environmental Engineering, University of Wollongong, 2522, NSW, Australia; Wilde P.D., School of Architecture Design and Environment, Plymouth University, Drake Circus, Plymouth, PL4 8AA, United Kingdom</t>
  </si>
  <si>
    <t>In England, there is a longstanding and increasing undersupply of both affordable and open-market housing. Around three quarters of all new homes in the UK are currently built speculatively by the developer-led private housing sector. However, demand for self-build housing is growing. Concurrently, there is also a need to address the sustainability of homes, which represent 29% of final energy consumption in the UK. There is a clear imperative to develop business models within the construction sector in which both social and environmental sustainability are inherent. The aim of this paper is to explore professional and expert opinions on the suitability of group self-build housing as a development model for zero carbon homes. A Policy Delphi study was conducted both at a national level in England and at a regional level in South West England. In this iterative, non-contact research method, online questionnaires were used to gather data from the same panellists over three rounds. Panellists were drawn from seven groups: public sector, specialist groups/experts, housing associations, housing developers, designers, contractors, and financial institutions. The findings highlight that the panellists believe that group self-build is well suited as a development model for the delivery of zero carbon homes and sustainable communities. The advantages identified include: energy efficiency, affordability, quality, innovation, and sustainable communities. © 2019 Elsevier Ltd</t>
  </si>
  <si>
    <t>Group self-build; Housing; Policy delphi; Sustainable; Zero carbon</t>
  </si>
  <si>
    <t>CARBON; CONSTRUCTION INDUSTRY; EMISSION CONTROL; ENERGY EFFICIENCY; HOUSING; ITERATIVE METHODS; SURVEYS; SUSTAINABLE DEVELOPMENT; CONSTRUCTION SECTORS; FINANCIAL INSTITUTION; ONLINE QUESTIONNAIRE; SELF-BUILD; SOCIAL AND ENVIRONMENTAL; SUSTAINABLE; SUSTAINABLE COMMUNITIES; ZERO CARBONS; ENERGY UTILIZATION</t>
  </si>
  <si>
    <t>J. Clean. Prod.</t>
  </si>
  <si>
    <t>Burger M.; Hendriks M.; Ianchovichina E.</t>
  </si>
  <si>
    <t>Burger, Martijn (35602734100); Hendriks, Martijn (56465529200); Ianchovichina, Elena (6602947833)</t>
  </si>
  <si>
    <t>Happy but Unequal: Differences in Subjective Well-Being across Individuals and Space in Colombia</t>
  </si>
  <si>
    <t>APPLIED RESEARCH IN QUALITY OF LIFE</t>
  </si>
  <si>
    <t>10.1007/s11482-021-09954-2</t>
  </si>
  <si>
    <r>
      <rPr>
        <u/>
        <sz val="10"/>
        <color rgb="FF000000"/>
        <rFont val="Helvetica Neue"/>
      </rPr>
      <t>https://www.scopus.com/inward/record.uri?eid=2-s2.0-85111392745&amp;doi=10.1007%2fs11482-021-09954-2&amp;partnerID=40&amp;md5=48e1d957725cbc82b90ce36fafc50ea5</t>
    </r>
  </si>
  <si>
    <t>Department of Applied Economics, Erasmus University, Rotterdam, Tinbergen Institute and Academic Director at the Erasmus Happiness Economics Research Organisation (EHERO), P.O. Box 1738, DR, Rotterdam, 3000, Netherlands; Department of Applied Economics, Erasmus University, Rotterdam and a Senior Researcher at the Erasmus Happiness Economics Research Organisation (EHERO), Room M5-39, Van der Goot Building, Burg. Oudlaan 50, PA, Rotterdam, 3000, Netherlands; Office of the Chief Economist, Latin America and the Caribbean Region of the World Bank, 1818 H Street NW, Washington, DC, United States</t>
  </si>
  <si>
    <t>Burger M., Department of Applied Economics, Erasmus University, Rotterdam, Tinbergen Institute and Academic Director at the Erasmus Happiness Economics Research Organisation (EHERO), P.O. Box 1738, DR, Rotterdam, 3000, Netherlands; Hendriks M., Department of Applied Economics, Erasmus University, Rotterdam and a Senior Researcher at the Erasmus Happiness Economics Research Organisation (EHERO), Room M5-39, Van der Goot Building, Burg. Oudlaan 50, PA, Rotterdam, 3000, Netherlands; Ianchovichina E., Office of the Chief Economist, Latin America and the Caribbean Region of the World Bank, 1818 H Street NW, Washington, DC, United States</t>
  </si>
  <si>
    <t>Despite being on average a relatively happy country, Colombia has a high level of inequality in subjective well-being (SWB). Using Gallup World Poll data for the period from 2010 to 2018, this paper tests the direction and strength of association of a range of objective and subjective factors with SWB and explains differences in SWB across individuals and space. The perceived welfare of the average Colombian is mainly influenced by conditions and expectations related to economic opportunities and education. However, quantile regressions, reveal substantial differences in the domains that matter to those at the bottom and top of the experienced welfare distribution. Standard-of-living improvements, housing affordability, and civic engagement matter more to the most fortunate top 20%, while having education, a job, sufficient income, economic security, and digital connectivity are much more strongly associated with the well-being of the bottom 20%. The life domains that matter more to the unhappiest respondents also explain the majority of the spatial differences in perceived welfare between residents in urban and rural areas as well as core and peripheral regions. Policy actions aimed at closing the gaps in these areas have the potential to increase well-being and reduce inequality in Colombia. © 2021, The Author(s).</t>
  </si>
  <si>
    <t>Colombia; D60; D63; Happiness; I31; Income inequality; Inequality in subjective well-being; Life satisfaction; Perceived welfare; Spatial inequality; Subjective well-being; Z13</t>
  </si>
  <si>
    <t>SPRINGER SCIENCE AND BUSINESS MEDIA B.V.</t>
  </si>
  <si>
    <t>Appl. Res. Qual. Life</t>
  </si>
  <si>
    <t>Nzau B.; Trillo C.</t>
  </si>
  <si>
    <t>Nzau, Bernard (57209772072); Trillo, Claudia (56329607500)</t>
  </si>
  <si>
    <t>Harnessing the real estate market for equitable affordable housing provision: insights from the city of Santa Monica, California</t>
  </si>
  <si>
    <t>10.1080/02673037.2020.1746244</t>
  </si>
  <si>
    <r>
      <rPr>
        <u/>
        <sz val="10"/>
        <color rgb="FF000000"/>
        <rFont val="Helvetica Neue"/>
      </rPr>
      <t>https://www.scopus.com/inward/record.uri?eid=2-s2.0-85083853002&amp;doi=10.1080%2f02673037.2020.1746244&amp;partnerID=40&amp;md5=524444b80f7e5de7f0def77341f0cbf7</t>
    </r>
  </si>
  <si>
    <t>School of Built Environment, University of Salford, Manchester, United Kingdom</t>
  </si>
  <si>
    <t>Nzau B., School of Built Environment, University of Salford, Manchester, United Kingdom; Trillo C., School of Built Environment, University of Salford, Manchester, United Kingdom</t>
  </si>
  <si>
    <t>Inclusionary housing is considered a powerful local policy tool that can help address housing affordability and social inclusion issues. This paper draws from empirical research conducted in the City of Santa Monica in California to provide fresh insights on a successful innovative inclusionary housing program, the Affordable Housing Production Program (AHPP). This program was established to increase affordable housing production and enable social integration. Based on the Land Use and Circulation Element (LUCE) of the General Plan, the AHPP seeks to capture some of the increase in land value resulting from planned increases in the intensity of development. Our research shows that the program increased inclusionary housing production by market-rate developers by 15% over the previous inclusionary housing policy. The study finds that land use policies and planning can, through inclusionary housing, help harness the strength of the real estate market to (1) increase affordable housing production, and (2) achieve effective social integration in neighborhoods of opportunity. © 2020 The Author(s). Published by Informa UK Limited, trading as Taylor &amp; Francis Group.</t>
  </si>
  <si>
    <t>affordable housing; Equity planning; inclusionary housing; land value capture; social inclusion</t>
  </si>
  <si>
    <t>CALIFORNIA; SANTA MONICA; UNITED STATES; AFFORDABLE HOUSING; HOUSING MARKET; HOUSING PROVISION; LAND USE PLANNING; NEIGHBORHOOD; SOCIAL INCLUSION; URBAN HOUSING; URBAN POLICY</t>
  </si>
  <si>
    <t>Wilson E.J.H.; Munankarmi P.; Less B.D.; Reyna J.L.; Rothgeb S.</t>
  </si>
  <si>
    <t>Wilson, Eric J.H. (55816909700); Munankarmi, Prateek (57205613324); Less, Brennan D. (56809420800); Reyna, Janet L. (55927494900); Rothgeb, Stacey (58317564800)</t>
  </si>
  <si>
    <t>Heat pumps for all? Distributions of the costs and benefits of residential air-source heat pumps in the United States</t>
  </si>
  <si>
    <t>JOULE</t>
  </si>
  <si>
    <t>10.1016/j.joule.2024.01.022</t>
  </si>
  <si>
    <r>
      <rPr>
        <u/>
        <sz val="10"/>
        <color rgb="FF000000"/>
        <rFont val="Helvetica Neue"/>
      </rPr>
      <t>https://www.scopus.com/inward/record.uri?eid=2-s2.0-85190250159&amp;doi=10.1016%2fj.joule.2024.01.022&amp;partnerID=40&amp;md5=da2b8f742244ddfc0e5ec8b2363440dd</t>
    </r>
  </si>
  <si>
    <t>National Renewable Energy Laboratory, 15013 Denver West Parkway, Golden, 80401, CO, United States; Lawrence Berkeley National Laboratory, Berkeley, 94720, CA, United States</t>
  </si>
  <si>
    <t>Wilson E.J.H., National Renewable Energy Laboratory, 15013 Denver West Parkway, Golden, 80401, CO, United States; Munankarmi P., National Renewable Energy Laboratory, 15013 Denver West Parkway, Golden, 80401, CO, United States; Less B.D., Lawrence Berkeley National Laboratory, Berkeley, 94720, CA, United States; Reyna J.L., National Renewable Energy Laboratory, 15013 Denver West Parkway, Golden, 80401, CO, United States; Rothgeb S., National Renewable Energy Laboratory, 15013 Denver West Parkway, Golden, 80401, CO, United States</t>
  </si>
  <si>
    <t>Electrification of fossil-fuel combustion in buildings is a key component of achieving global greenhouse gas emissions targets. We use physics simulations of 550,000 statistically representative households to analyze distributions of the costs and benefits of three air-to-air heat pump performance levels, with and without insulation upgrades, across the diversity of the US housing stock. We find positive greenhouse gas reductions in every US state for all performance levels across five 2022–2038 electric grid scenarios, with full adoption reducing national emissions by 5%–9%. We find that air-to-air heat pumps could be cost effective without subsidies in 59% of households (65 million). However, efficiency is key: whereas minimum-efficiency equipment could increase energy bills in 39% of households, this fraction is only 19% when also upgrading insulation or 5% when using higher-efficiency equipment, though both strategies have higher upfront costs. Such affordability challenges could be addressed through supportive incentives, policy, and innovation. © 2024 Elsevier Inc.</t>
  </si>
  <si>
    <t>building stock modeling; decarbonization; electrification; energy efficiency; heat pump; residential buildings</t>
  </si>
  <si>
    <t>AIR SOURCE HEAT PUMPS; COST EFFECTIVENESS; ELECTRIC UTILITIES; FOSSIL FUELS; GAS EMISSIONS; GREENHOUSE GASES; HOUSING; PUMPS; AIR-SOURCE HEAT PUMPS; BUILDING STOCK MODELING; BUILDING STOCKS; COST AND BENEFITS; DECARBONISATION; ELECTRIFICATION; HEAT PUMPS; PERFORMANCE:LEVEL; RESIDENTIAL BUILDING; STOCK MODELS; ELECTRIFICATION; ENERGY EFFICIENCY; FOSSIL FUEL; FUEL CONSUMPTION; MULTISTOREY BUILDING; PUMP; RESIDENTIAL LOCATION; ENERGY EFFICIENCY</t>
  </si>
  <si>
    <t>CELL PRESS</t>
  </si>
  <si>
    <t>Joule</t>
  </si>
  <si>
    <t>Barletta V.</t>
  </si>
  <si>
    <t>Barletta, Vince (38861046600)</t>
  </si>
  <si>
    <t>Hidden homeless in brandon, manitoba: Seeking solutions through community partnerships</t>
  </si>
  <si>
    <t>EC4</t>
  </si>
  <si>
    <t>PLAN CANADA</t>
  </si>
  <si>
    <r>
      <rPr>
        <u/>
        <sz val="10"/>
        <color rgb="FF000000"/>
        <rFont val="Helvetica Neue"/>
      </rPr>
      <t>https://www.scopus.com/inward/record.uri?eid=2-s2.0-79957835116&amp;partnerID=40&amp;md5=3156353bbfc989f6ba7652eec6e4c880</t>
    </r>
  </si>
  <si>
    <t>Brandon and Area Planning District, Downtown Brandon Development Corporation, Canada</t>
  </si>
  <si>
    <t>Barletta V., Brandon and Area Planning District, Downtown Brandon Development Corporation, Canada</t>
  </si>
  <si>
    <t>Policy efforts in housing affordability and supply continue to be focused on larger Canadian urban centres. Brandon, Manitoba (population 43,000) has experienced significant growth in recent years driven by immigration and new employment that is putting significant pressure on housing and social service resources in the community. Two new projects are positioned to make a positive impact. The Massey Integrated Housing Complex and 7th Street Health Access Centre provide an example of innovative community partnerships that are linking affordable housing with other health and social service requirements.</t>
  </si>
  <si>
    <t>BRANDON; CANADA; MANITOBA; AFFORDABLE HOUSING; EMPLOYMENT; HEALTH SERVICES; HOMELESSNESS; HOUSING POLICY; IMMIGRATION; PARTNERSHIP APPROACH; URBAN AREA</t>
  </si>
  <si>
    <t>Plan Can.</t>
  </si>
  <si>
    <t>Spinney A.; Australian Housing and Urban Research Institute; Swinburne Research Centre</t>
  </si>
  <si>
    <t>Spinney, Angela (55192471300); Australian Housing and Urban Research Institute (56412963600); Swinburne Research Centre (56416404500)</t>
  </si>
  <si>
    <t>Home and safe? Policy and practice innovations to prevent women and children who have experienced domestic and family violence from becoming homeless</t>
  </si>
  <si>
    <r>
      <rPr>
        <u/>
        <sz val="10"/>
        <color rgb="FF000000"/>
        <rFont val="Helvetica Neue"/>
      </rPr>
      <t>https://www.scopus.com/inward/record.uri?eid=2-s2.0-85116177239&amp;partnerID=40&amp;md5=64bcaf2cd21e015993017e0243d0b0cd</t>
    </r>
  </si>
  <si>
    <t>Swinburne University, Australia</t>
  </si>
  <si>
    <t>Spinney A., Swinburne University, Australia; Australian Housing and Urban Research Institute; Swinburne Research Centre</t>
  </si>
  <si>
    <t>This report sets out the findings of a research project investigating the opportunities and challenges of preventing women and children who have experienced domestic and family violence from becoming homeless. The project responded to the AHURI Strategic Research Issue 1: Housing and related systems that prevent homelessness and promote wellbeing and stable housing outcomes, and the challenges outlined in the White Paper, The road home: a national approach to reducing homelessness (Commonwealth of Australia 2008). The White Paper highlights prevention and early intervention as the most efficient and effective ways to reduce homelessness, and they are also embodied within National Affordable Housing Agreement objectives. This is the second and Final Report from AHURI Research Project 50602-Homelessness prevention for women and children who have experienced domestic and family violence: innovations in policy and practice. The aim is to explore the value and implementation challenges of innovative staying at home homelessness prevention measures, such as Staying Home Leaving Violence schemes in Australia and Sanctuary Schemes in England. The two broad research questions are: → How and to what extent have innovative homelessness prevention measures introduced in Australia and England since the mid-1990s been successful in enabling women and children to remain in their homes and localities? → What are the implications of these findings for policy on housing and homelessness in Australia and for improvements to practice? Research approach: Stage one consisted of a desk-based literature review. The Positioning Paper (Spinney &amp; Blandy 2011) 〈http://www.ahuri.edu.au/publications/download/50602-pp〉 is based on this stage and contains an international and national academic and policy review of the literature and details the conceptual framework developed for the study. In stage two a comparative methodology using two case studies, England and Australia, allowed investigation of 'joined up' approaches to homelessness prevention for women and children who have experienced domestic and family violence. These consist of housing, judicial and support systems and services working together to enable the women and children to remain within their homes. The English case study involved visiting three Sanctuary homelessness prevention schemes in order to ascertain how they work and whether there are transferable policies and practices that could work effectively in Australia. In the Australian case study, the three embedded units of analysis were New South Wales, Tasmania and Victoria. Homelessness prevention schemes were visited in each of these states and 45 semi-structured interviews were conducted. These sought to determine the scope and effectiveness of projects, with a focus on their objectives and how they work. The author was keen to hear the views of key policy-makers and providers, including any implementation difficulties they had encountered. Documentary evidence was collected when appropriate, including policy documents and promotional materials. Following thematic analysis of the interview findings, a series of workshops was facilitated in five state capitals with 47 policy-makers, practitioners and researchers attending presentations on the interim findings. Facilitated discussions deepened understanding of the policy implications for successful implementation of homelessness prevention practices for women and children in each of these five states. These additional findings were analysed and incorporated into this Final Report. The workshops led to inclusion of details of the differing legislation in each state and territory in the report, because it became clear that attendees would find this information useful in assessing their future policy. The report has been compiled based on the learning from the following: → critical review of the literature → primary research in the case study locales→ information obtained from workshops. The data is reported by analytical theme in order to create a useful document for policy-makers. The report provides good practice examples and includes issues raised by the research participants concerning applicability and relevance in the Australian context. Guidance on policies implemented at home and in England and advice on how they could be implemented in Australian states is provided. Companion study: A companion study has been funded by the Commonwealth Department of Families, Housing, Community Services and Indigenous Affairs (FaHCSIA) through the Homelessness Research Partnership Agreement, Early intervention strategies to reduce the need for women and children to make repeated use of refuge and other crisis accommodation. This research was conducted in conjunction with this AHURI project by the same researcher. The two projects have been designed to dovetail together and, in order to aid the reader, where relevant some of the information has been replicated in the Final Reports of each project. The FaHCSIA project is intended to bring forward our knowledge more widely of the issues concerning the reasons for the decisions women who have been subject to domestic and family violence make regarding whether to leave the family home for a refuge in order to escape the abuse, whether to return to the perpetrator, and whether to leave again. It also explores the efficacy of early intervention schemes, including perpetrator behaviour change programs, in reducing women's and children's multiple experiences of refuge and other emergency accommodation. The project explores what best practice and service standards would be needed if Staying Home Leaving Violence (SHLV) models were to be implemented more widely in Australia. It is recommended that those with a particular interest in these issues should read the Final Reports of both projects. Key learning: The literature review established that the most effective homelessness prevention measures for women and children who have experienced domestic and family violence often combine legal/judicial, housing and welfare policy and practices in an integrated manner in order to improve their safety. These include: → Legal/judicial: improving police responses to breaches of court orders, providing court-based family violence advocacy services, domestic violence courts, law reform. → Housing: private rental brokerage programs for women who have experienced family violence, 24-hour response services by housing agencies, Staying Home Leaving Violence (SHLV) type schemes, perpetrator accommodation. → Welfare: outreach services, 'sanctuary' type schemes, emergency support, personal development and confidence-building assistance.Sanctuary Schemes in England and SHLV schemes in New South Wales explored for this research involve a degree of collaboration and integration between police, courts and other welfare and housing support services that are effective in enabling women and children who have experienced domestic and family violence to remain in their homes. The key findings are as follows: → Integrative approaches such as SHLV-type schemes have an important role to play in preventing homelessness for women and children who have experienced domestic and family violence, and that this is true for women living in very different situations in very different areas of Australia, including those previously thought not to be suitable. → Australia should move to the provision of homelessness prevention schemes that are as extensive as the current provision of refuge and crisis accommodation. → Schemes should use non-restrictive eligibility practices, should include an element of social marketing, and should provide both practical and emotional support for clients. The detailed findings within the report identify how legislation, legal and judicial practices, practical and emotional support services, affordability issues, and integrated domestic and family violence programs can influence women's decisions to remain in their home following the removal of a violent partner, their confidence in their ability to do so safely, and their actual safety. © 2012, Australian Housing and Urban Research Institute. All rights reserved.</t>
  </si>
  <si>
    <t>Domestic and family violence; Homelessness prevention; Women and children</t>
  </si>
  <si>
    <t>Napoli G.; Trovato M.R.; Giuffrida S.</t>
  </si>
  <si>
    <t>Napoli, Grazia; Trovato, Maria Rosa; Giuffrida, Salvatore</t>
  </si>
  <si>
    <t>Housing Affordability and Income-Threshold in Social Housing Policy</t>
  </si>
  <si>
    <t>2ND INTERNATIONAL SYMPOSIUM NEW METROPOLITAN PERSPECTIVES - STRATEGIC PLANNING, SPATIAL PLANNING, ECONOMIC PROGRAMS AND DECISION SUPPORT TOOLS, THROUGH THE IMPLEMENTATION OF HORIZON/EUROPE2020, (ISTH2020)</t>
  </si>
  <si>
    <t>10.1016/j.sbspro.2016.05.345</t>
  </si>
  <si>
    <t>University of Palermo; University of Catania</t>
  </si>
  <si>
    <t>Napoli G., Univ Palermo, Dept Architecture, Viale Sci Ed 14, I-90128 Palermo, Italy; Trovato M. R., Univ Catania, Dept Civil Engn &amp; Architecture, Viale Andrea Doria 6, I-95125 Catania, Italy; Giuffrida, S., Univ Catania, Dept Civil Engn &amp; Architecture, Viale Andrea Doria 6, I-95125 Catania, Italy</t>
  </si>
  <si>
    <t>The issue of affordable housing has again become crucial in ensuring a greater social equity, increasing social cohesion and reducing inequalities within metropolitan or regional systems which, in the current climate of severe economic crisis, have to respond to global challenges of development, innovation and sustainability. This study aims at building a system of knowledge about the housing affordability on the territorial scale, by which to identify the local characteristics of housing problems that could be solved through traditional planning tools or new practices of social housing, which involves private stakeholders and/or public administrations. This system of knowledge should include the analysis of the wealth distribution both in terms of income and real estate market price, and the calculation of the income thresholds (based on the HAI-Housing Affordability Index) that filter the access to the real estate market. All these data are used to define the correspondences between groups of people and affordable housings, distinguishing them both by income and urban location. This approach is applied to the case study of the territorial system of the Province of Syracuse (Italy) and it allows appraising the gap between housing prices and income level in different areas of seven towns. To know the size and the spatial distribution of these gaps is a valuable tool to orientate the housing policy, to select the best model of social housing and to design the equitable parameters of social housing projects for each town. (C) 2016 The Authors. Published by Elsevier Ltd.</t>
  </si>
  <si>
    <t>Housing affordability; Income-threshold; Real estate market; Social housing; Financial sustainability</t>
  </si>
  <si>
    <t>Wood G.; Ong R.; Cigdem M.</t>
  </si>
  <si>
    <t>Wood, Gavin (7401951115); Ong, Rachel (18133832500); Cigdem, Melek (55860542700)</t>
  </si>
  <si>
    <t>Housing affordability dynamics: New insights from the last decade</t>
  </si>
  <si>
    <r>
      <rPr>
        <u/>
        <sz val="10"/>
        <color rgb="FF000000"/>
        <rFont val="Helvetica Neue"/>
      </rPr>
      <t>https://www.scopus.com/inward/record.uri?eid=2-s2.0-84910143795&amp;partnerID=40&amp;md5=35b3604c34337004a0a7e0b362233daa</t>
    </r>
  </si>
  <si>
    <t>RMIT University, Australia; Curtin University, Australia</t>
  </si>
  <si>
    <t>Wood G., RMIT University, Australia; Ong R., Curtin University, Australia; Cigdem M., RMIT University, Australia</t>
  </si>
  <si>
    <t>This is the first report of a project that explores the duration of housing affordability stress (HAS) in Australia. It updates research findings previously reported by Wood and Ong (2009), which tracked the housing affordability trajectories of Australians over the period 2001-06. The present project offers more up-to-date estimates of duration in HAS and affordable housing by1 exploiting a longer 11-year timeframe that covers 2001-11. The dataset employed in this (and the previous) project is the nationally representative Household, Income and Labour Dynamics in Australia (HILDA) Survey. This project addresses three key research questions: 1. Were escapes from HAS permanent or temporary over the period 2001-11? To what extent did experiences of protracted and temporary spells in HAS vary by household characteristics? 2. To what degree are transitions in and out of HAS caused by changes in housing cost versus changes in income? Do Commonwealth Rent Assistance (CRA) arrangements serve as an effective buffer against sharp rises in rents or income shocks? 3. How often do households churn in and out of HAS? Why do some escape yet fall back into HAS at a later stage of their housing careers? The present project will offer important innovations and new insights. The longer timeframe of the HILDA Survey offers excellent opportunities to more rigorously distinguish between the characteristics of persons permanently or temporarily trapped in HAS, as well as take into account the disruption to Australian housing markets that followed the Global Financial Crisis (GFC). This project will also inform policy recommendations by firstly providing vital indicators as to whether housing affordability issues in contemporary times would be more effectively dealt with via housing or labour market instruments, or a combination of both, and secondly proposing CRA reforms that strengthen their effectiveness as a protective buffer against HAS. The key findings are as follows: → In this project, we find that 73 per cent of Australians in housing affordability stress (HAS) will escape by Year 1. This rate of escape declines rather steeply, but only a small minority fail to climb out of spells of HAS by Year 10. Couples with children, and particularly those in the 35-54 age groups, find it relatively difficult to escape from spells of HAS. These findings confirm the trends presented in the previous project. → For those in affordable housing, there is a high 79.5 per cent chance that housing remains affordable through to Year 10, again confirming the findings from the previous project. The young (under 35 years of age) and couples with children are particularly prone to slip out of affordable housing. On the other hand, the majority of outright owners retain affordable housing all the way through to the Year 10. → A past experience of HAS seems to have a 'scarring' effect on future prospects of evading HAS. → For those falling out of affordable housing, changes in housing cost ratios triggered by falls in income are more or less equal to those caused by rising housing costs. However, year-to-year escapes from unaffordable housing are disproportionately driven by changes in income. → The effectiveness of CRA as a protective buffer against HAS has somewhat deteriorated over the decade. At the beginning of the study timeframe (2001) affordability ratios are estimated to be nearly 16 percentage points higher if CRA were withdrawn, and rates of HAS among clients would rise from 12 per cent to 53 per cent. While CRA continues to offer significant protection in later years, it seems to tail off during the second half of the timeframe. The panel nature of the HILDA data is exploited to track each individual's HAS trajectory over an 11-year period. The sample design and measurement approach largely follow the previous project. We apply an 'attribution' approach which ensures that while we track the housing affordability position of individuals, their housing affordability position is measured on an income unit basis because important variables that affect housing affordability, such as CRA and Family Tax Benefit (FTB), are determined on an income unit basis. Housing costs are measured on a tenure-specific and net basis. Importantly, this means that private renters' housing costs are measured as rent net of CRA and public renters' housing costs are rebated rents. Following the previous project, our income measure is equivalised disposable income. We adopt two definitions of HAS. Firstly, and as in the team's previous project, a person is defined as being in HAS when income unit housing costs exceed 30 per cent of income. Secondly, we adopt an additional but more commonly accepted definition of HAS, where a person is in HAS when housing costs exceed 30 per cent of income, and the person is in the bottom 40 per cent of the household income distribution. We profile the housing affordability position of individuals as they age. Unsurprisingly, younger Australians' housing affordability profiles are elevated as compared to other age groups. The housing cost burdens for individuals who were aged under 35 at the beginning of the panel increase over the decade by approximately 1.5 percentage points; and the incidence of HAS remains stubbornly stuck in the 7-8 per cent range (see Figure 1 below). Private renters begin the decade with housing cost ratios and an incidence of housing stress that are below those of home buyers. But by the end of the decade the position is reversed with tenants' housing cost ratios 5 percentage points higher, and the incidence of housing stress 2 percentage points higher than those of home purchasers. These comparisons offer a striking illustration of the welfare protection that the accumulation of savings in home ownership provides as Australians age. They also highlight the vulnerability of enduring private renters to high housing cost burdens. (Figure presented.) Our panel analysis confirms those found in our earlier project. Seventy-three per cent (73%) of Australians in HAS will escape by Year 1. This rate of escape declines rather steeply, but only a small minority fail to climb out of spells of housing stress by Year 5. Couples with children, and particularly those in the 35-54 age groups, find it relatively difficult to escape from periods of housing stress. For those enjoying a spell in affordable housing, any threat to their affordable housing situation is small. Furthermore, the danger of sliding out of affordable housing diminishes as periods of time in affordable housing lengthen. If we randomly selected from a sample of spells in affordable housing, there is a high 79.5 per cent chance that housing remains affordable through to Year 10. The young (under 35 years of age) and couples with children are particularly prone to slip out of affordable housing. In contrast, the majority of outright owners' (75%) 'survival' rates in affordable housing after a decade are very high at 94 per cent. Most outright owners have reached retirement age, so these findings underpin the traditional welfare role of home ownership as a buffer cushioning living standards in retirement. The past experience of housing affordability stress seems to have a 'scarring' effect on future prospects of evading HAS. In succeeding spells it appears to be more difficult for low-income individuals to exit unaffordable housing; the first experience in the study timeframe seems to leave an imprint that makes it more difficult to escape in the future. We employ shift-share analysis in order to de-compose year-to-year changes in housing cost ratios into a component that can be attributed to changes in income, and a second component that can be attributed to changes in housing costs. For those falling out of affordable housing, changes in housing cost ratios triggered by falls in income are more or less equal to those caused by rising housing costs. However, year-to-year escapes from unaffordable housing are disproportionately driven by income, which accounts for 23.5 percentage points (just over two-thirds) of the overall fall in housing cost ratios. We analyse the changing effectiveness of CRA in protecting private rental tenants from HAS. We find that housing cost burdens and rates of HAS decline during the early years of the 2001-11 timeframe, but there is evidence of deteriorating housing affordability in the aftermath of the GFC. Simulation exercise estimates suggest that if CRA were withdrawn housing cost burdens would increase by large margins. At the beginning of the study timeframe (2001) affordability ratios are estimated to be nearly 16 percentage points higher if CRA were withdrawn, and rates of HAS would rise from 12 per cent to 53 per cent. While CRA continues to offer significant protection in later years, it seems to tail off during the second half of the time frame. This project's findings have important policy implications. Younger couples with children and on moderate to low incomes find it more difficult to maintain affordable housing, and are less likely to escape unaffordable housing circumstances. Family Tax Benefit (FTB) is an important source of assistance for this group of households. The cuts to FTB in the recent 2014 budget will expose this group to an even greater risk of HAS due to the freeze in indexation arrangements. We also find that income and hence labour market drivers are primarily responsible for moves out of unaffordable and into affordable housing, suggesting that labour market policies (e.g. training programs, work incentive measures) could prove effective in lifting Australians out of unaffordable housing circumstances provided they succeed in raising employment participation and hence disposable incomes.</t>
  </si>
  <si>
    <t>Affordable housing; Churning; Housing affordability dynamics; Housing affordability stress</t>
  </si>
  <si>
    <t>Desmond E.; O'Sullivan S.</t>
  </si>
  <si>
    <t>Desmond, Elaine (56388453600); O'Sullivan, Siobhan (55161990500)</t>
  </si>
  <si>
    <t>Housing and the West Cork islands: a national crisis in microcosm</t>
  </si>
  <si>
    <t>ADMINISTRATION</t>
  </si>
  <si>
    <t>10.2478/admin-2024-0010</t>
  </si>
  <si>
    <r>
      <rPr>
        <u/>
        <sz val="10"/>
        <color rgb="FF000000"/>
        <rFont val="Helvetica Neue"/>
      </rPr>
      <t>https://www.scopus.com/inward/record.uri?eid=2-s2.0-85193275671&amp;doi=10.2478%2fadmin-2024-0010&amp;partnerID=40&amp;md5=330324168040d25b4ccba097df63ea12</t>
    </r>
  </si>
  <si>
    <t>School of Applied Social Studies, University College Cork, Iceland</t>
  </si>
  <si>
    <t>Desmond E., School of Applied Social Studies, University College Cork, Iceland; O'Sullivan S., School of Applied Social Studies, University College Cork, Iceland</t>
  </si>
  <si>
    <t>This article explores the first academic study on the housing crisis on Ireland's offshore islands through a case study of the experiences and views of islanders on the West Cork islands. The paper covers the risk which the current housing crisis in Ireland represents for the ability of the West Cork islands, already susceptible to depopulation, to retain the next generation of existing inhabitants and attract newcomers. Through a participatory research project conducted between October 2021 and November 2022, the article reveals the challenges facing the West Cork islands in terms of housing affordability, availability and quality, and how these impact on the sustainability of island living. It also documents innovative policies and initiatives that islanders would like policymakers to implement to ensure the housing crisis is addressed and full-time populations on the islands are secured and sustained. The article concludes by reflecting on the recent National Islands Policy 2023-2033 in light of the current study. © 2024 Sciendo. All rights reserved.</t>
  </si>
  <si>
    <t>housing crisis; National Islands Policy; participatory research; perspectives of islanders; sustainability of island living; West Cork islands</t>
  </si>
  <si>
    <t>Administration</t>
  </si>
  <si>
    <t>Wu S.P.; Fu Y.Q.; Yang Z.</t>
  </si>
  <si>
    <t>Wu, Shuping; Fu, Yuqi; Yang, Zan</t>
  </si>
  <si>
    <t>Housing condition, health status, and age-friendly housing modification in Europe: The last resort?</t>
  </si>
  <si>
    <t>BUILDING AND ENVIRONMENT</t>
  </si>
  <si>
    <t>10.1016/j.buildenv.2022.108956</t>
  </si>
  <si>
    <t>Beijing Jiaotong University; Tsinghua University</t>
  </si>
  <si>
    <t>Wu S., Beijing Jiaotong Univ, Sch Econ &amp; Management, Beijing 100044, Peoples R China; Fu Y. Q., Tsinghua Univ, Hang Lung Ctr Real Estate, Dept Construct Management, Beijing 100084, Peoples R China; Yang Z., Tsinghua Univ, Hang Lung Ctr Real Estate, Dept Construct Management, Beijing 100084, Peoples R China</t>
  </si>
  <si>
    <t>As suggested by the person-environment fit theory, how older people interact with and modify their housing is an important determinant for their health and well-being. For the first time, this study investigates the constraints of housing modifications innovatively. It finds that promoting housing modification depends not only on older people's affordability emphasised by previous studies but more fundamentally, their recognition of the role of age-friendly housing and the proper timing of modification. Based on a longitudinal survey data of 5719 older people in 12 European countries from 2015 to 2017, we find that older people tend to take last resort actions, that is, housing modifications are rare (21.93%) and mostly happen when they are 80 years old and above. In addition, the ordered logit regression shows that the limited scope of housing modification is mainly induced by the poor housing conditions and physical disabilities of older people. Although the age-friendly housing modification has a preventive effect on older individuals, this limited, late, and passive action debases the preventive value of age-friendly housing to the aged population's health. To Europe and developing countries, measures to raise the older people's recognition regarding the benefits, proper time, and scope of housing modifications are suggested in the paper.</t>
  </si>
  <si>
    <t>Human-environment interactions; Person-environment fit; Housing modification; Physical and mental health; Older people</t>
  </si>
  <si>
    <t>HOME MODIFICATIONS; HONG-KONG; PEOPLE; FALLS; ENVIRONMENT; RETIREMENT; PREVENTION; IMPACTS; POLICY; RISK</t>
  </si>
  <si>
    <t>PERGAMON-ELSEVIER SCIENCE LTD</t>
  </si>
  <si>
    <t>Build. Environ.</t>
  </si>
  <si>
    <t>McKenzie F.H.; Phillips R.; Rowley S.; Brereton D.; Birdsall-Jones C.</t>
  </si>
  <si>
    <t>McKenzie, Fiona Haslam (57200746519); Phillips, Rhonda (37014687000); Rowley, Steven (7006249092); Brereton, David (18433387800); Birdsall-Jones, Christina (55580120000)</t>
  </si>
  <si>
    <t>Housing market dynamics in resource boom towns</t>
  </si>
  <si>
    <r>
      <rPr>
        <u/>
        <sz val="10"/>
        <color rgb="FF000000"/>
        <rFont val="Helvetica Neue"/>
      </rPr>
      <t>https://www.scopus.com/inward/record.uri?eid=2-s2.0-84907581411&amp;partnerID=40&amp;md5=c258fb067959a983eb22fb7325af3ae5</t>
    </r>
  </si>
  <si>
    <t>AHURI Western Australia Research Centre, Australia</t>
  </si>
  <si>
    <t>McKenzie F.H., AHURI Western Australia Research Centre, Australia; Phillips R., AHURI Western Australia Research Centre, Australia; Rowley S., AHURI Western Australia Research Centre, Australia; Brereton D., AHURI Western Australia Research Centre, Australia; Birdsall-Jones C., AHURI Western Australia Research Centre, Australia</t>
  </si>
  <si>
    <t>Resource boom towns in the Pilbara and Goldfield regions of Western Australia and the Bowen Basin region of Queensland have experienced recurring housing shortages and crises. The housing situation has had a negative impact upon these communities in a variety of ways, and in the case of Karratha in particular, constitutes a community crisis. This study demonstrates the important linkages between housing and the resources industry. It discusses the key issues evidenced by case studies of four resource boom towns; two in Western Australia and two in Queensland. These case studies provide a detailed picture of the wide range of issues faced by these towns and the social, economic and structural consequences of the resources boom. An enduring issue is the inability of the public and private sectors to attract and retain staff in resource boom towns whatever their occupation, but this is especially apparent for workers in the service sector. Business and community development are stymied by the ever-decreasing locally resident workforce, a direct result of the increasing lack of available and/or affordable housing. A range of skill sets for the resources industries are in short supply. The nature and locations of mining operations, combined with the lack of available and affordable housing and associated industry cost structures, has led the resource sector to increasingly rely upon a long-distance commuting workforce. The increase of fly-in, fly-out (FIFO) and drive-in, drive-out (DIDO) workers has led to a reduction in the permanently resident workforce. This research confirms the role of housing as an essential component of the physical infrastructure underpinning the mining industry. The links between housing and economic and social wellbeing in a regional context are clearly demonstrated. We argue that a holistic appreciation by the industry and government of the important role of housing at each stage of the mining cycle has been lacking in Australia. The recent super-cycle in the resources industry in Australia resulted in critical housing issues requiring strategic responses to enable the industry to expand to meet international demand and in order to address the most serious social and economic impacts for local and regional communities. Although the current downturn in the industry, as a result of the global financial crisis, has temporarily eased some of the pressure on housing markets in resource communities, a likely resurgence in demand for resources over the longer term means that all of the issues identified in this report remain on the table and should be addressed. Efforts to manage the housing implications of mining face considerable challenges including: the diversity in scale and nature of the industry and its impacts; the cyclical and often unpredictable nature of the resources industry; the propensity for mining to be located in regional and remote areas; changing technology and labour market practices; and differences in policy and institutional arrangements across Australian jurisdictions. We put forward a range of proposals for immediate and longer-term strategies to better manage housing issues, particularly in areas such as resource-rich regions which are vulnerable to world market prices and consumer trends. Specifically: A categorical commitment from governments regarding the positive long-term future for communities in remote regions. In light of this reality, there is a case for a more co-ordinated approach, between government and industry, (but led by government), to better plan for these regions. Government and non-government organisation (NGO) decision and implementation processes can no longer lag behind growth as this will hamper co-ordinated planning. It is critically important that governments act to ensure the adequate supply of land that has the potential to be serviced at the earliest opportunity when a resource development project is planned and then work assiduously to ensure that the land is brought to development status as soon as possible. ?The provision of realistic incentives for investment in infrastructure by business and community. The recent Western Australian election campaign Royalties for Regions highlighted the importance of enhancing life in royalty-generating regions through targeted funding for key infrastructure. Government does not have to be the sole provider but meaningful incentives for partnerships between governments and industry must be established to convey mutual commitment. ?Increased government investment in social, community and affordable housing including the use of innovative financing tools such as shared-equity schemes and taxation incentives for investment in affordable housing, with particular attention to housing in regional and remote areas. It has been suggested that the rules governing LandCorp in Western Australia could be relaxed to enable more affordable housing land in the regions. ?The provision of affordable accommodation for those on low-to-middle incomes not eligible for housing assistance but who are excluded from the private market due to the shortages of available affordable accommodation for rent or purchase. Once demand has been met for serviced land, government agencies should consider serviced land banking for future development to avoid long development delays. Relaxing local government town planning policies to enable greater flexibility regarding development densities and transformation of current housing stock. Fast-tracking planning approvals for residential developments that contain an element of affordable housing should be considered. Affordable housing does not mean aesthetically unattractive. An increased supply of government housing for key workers and government service providers to meet current and future needs, commensurate with population increases. Government employee housing needs to be of a standard to ensure the attraction and retention of key human resources. All publicly provided housing needs to be consistently maintained and upgraded to ensure: sustainable standards of population health; enhanced education opportunities; liveability; and accessibility. Substance abuse underpins many of the social and economic ills of remote and regional communities, particularly those in or near to resource-dominated towns. The link between good housing and good health has been demonstrated. In order to effectively deal with the myriad issues arising from substance abuse and poor, or lack of housing, governments should adopt a relational approach which takes into account the need for complex community development. To this end, government housing agencies need to liaise more closely with health agencies, and agencies of the Drug and Alcohol Office. The liveability of resource boom towns could be greatly enhanced if the design and planning of towns was undertaken with an eye to permanence and a diversification of the economic base underpinning the local economy. Many of the necessary strategies require longer-term implementation timeframes. Successful housing strategies in mining communities require co-ordinated action by all spheres of government as well as the mining and residential property industries. This involves resolution of the diverse interests of these stakeholders and agreement about who is responsible for what. Local communities and NGOs have an important role to play in identifying community concerns and potential responses. In discussing proposed strategies we address the following key questions. What needs to be done? Why is it necessary? Who needs to take primary responsibility? What policies, partnerships and governance structures are needed for successful implementation? A recurring theme in this report is the need to improve co-ordination within and between the different levels of government, and in turn, between mining companies and government. Better planning is critical to ensure an adequate supply and mix of housing in mining communities and in particular, to address the issue of affordability. While towns are vulnerable to the resources super-cycle, their future is tenuous. If an effort was made to plan and design towns to enhance liveability and attractiveness, there is a greater likelihood of increased private investment in businesses and the community.</t>
  </si>
  <si>
    <t>Muellbauer J.; Murphy A.</t>
  </si>
  <si>
    <t>Muellbauer, John; Murphy, Anthony</t>
  </si>
  <si>
    <t>Housing markets and the economy: the assessment</t>
  </si>
  <si>
    <t>OXFORD REVIEW OF ECONOMIC POLICY</t>
  </si>
  <si>
    <t>10.1093/oxrep/grn011</t>
  </si>
  <si>
    <t>University of Oxford; University of Oxford</t>
  </si>
  <si>
    <t>Muellbauer J., Univ Oxford Nuffield Coll, Oxford OX1 1NF, England; Murphy A., Univ Oxford Hertford Coll, Oxford, England</t>
  </si>
  <si>
    <t>Housing markets have multiple interactions with the rest of the economy and these are surveyed in this paper. The drivers of house prices include income, the housing stock, demography, credit availability, interest rates, and lagged appreciation, the latter a potential mechanism for overshooting. There is rather less agreement on the determinants of new construction, though planning constraints are widely seen as a major issue and one of the causes of the UK housing affordability problem. The paper argues that housing collateral and downpayment constraints are the key to understanding the role of house-price variations in explaining medium-term consumption fluctuations. Institutional variations between countries and over time account for major differences in linkages between house prices and economic activity. This illuminates debates about how monetary and other policy should react to house-price variations. The paper also discusses the role of housing markets in explaining regional migration and location decisions, intergenerational inequality, and restricting access of the less affluent to public goods, such as good schools, which are capitalized in local house prices.</t>
  </si>
  <si>
    <t>house prices; consumption; monetary policy; credit conditions; institutional change</t>
  </si>
  <si>
    <t>RESIDENTIAL CONSTRUCTION; FINANCIAL INNOVATION; PLANNING PRACTICE; PRICE ELASTICITY; TAX SUBSIDIES; UNEMPLOYMENT; IMPACT; MODEL; CONSUMPTION; BEHAVIOR</t>
  </si>
  <si>
    <t>OXFORD UNIV PRESS</t>
  </si>
  <si>
    <t>Oxf. Rev. Econ. Policy</t>
  </si>
  <si>
    <t>Kabundu E.; Mbanga S.; Botha B.; Crafford G.</t>
  </si>
  <si>
    <t>Kabundu, Emmanuel (57560501900); Mbanga, Sijekula (57224948567); Botha, Brink (57222149523); Crafford, Gerrit (55204005700)</t>
  </si>
  <si>
    <t>Housing Quantum and Innovative Building Systems in South Africa – the Affordability Perspective for 2020</t>
  </si>
  <si>
    <t>CRITICAL HOUSING ANALYSIS</t>
  </si>
  <si>
    <t>10.13060/23362839.2022.9.2.546</t>
  </si>
  <si>
    <r>
      <rPr>
        <u/>
        <sz val="10"/>
        <color rgb="FF000000"/>
        <rFont val="Helvetica Neue"/>
      </rPr>
      <t>https://www.scopus.com/inward/record.uri?eid=2-s2.0-85141103282&amp;doi=10.13060%2f23362839.2022.9.2.546&amp;partnerID=40&amp;md5=41794278ce5584a8bd84a1ea155cc9fa</t>
    </r>
  </si>
  <si>
    <t>Department of Building and Human Settlements, Nelson Mandela University, Gqeberha (Port Elizabeth), South Africa; Department of Construction Management, Nelson Mandela University, Gqeberha (Port Elizabeth), South Africa; Department of Quantity Surveying, Nelson Mandela University, Gqeberha (Port Elizabeth), South Africa</t>
  </si>
  <si>
    <t>Kabundu E., Department of Building and Human Settlements, Nelson Mandela University, Gqeberha (Port Elizabeth), South Africa; Mbanga S., Department of Building and Human Settlements, Nelson Mandela University, Gqeberha (Port Elizabeth), South Africa; Botha B., Department of Construction Management, Nelson Mandela University, Gqeberha (Port Elizabeth), South Africa; Crafford G., Department of Quantity Surveying, Nelson Mandela University, Gqeberha (Port Elizabeth), South Africa</t>
  </si>
  <si>
    <t>The adoption of innovative building technologies (IBTs) and social welfare policies in South Africa has facilitated an increase in decent homeownership among low-income groups, thus improving their quality of life. However, due to the escalating costs of building materials, the capital and lifecycle costs of implementing these technologies may no longer be affordable. This research aims to provide a comparative evaluation of the affordability of some readily available IBTs in the South African construction industry, relative to existing homeownership subsidy grants. The method used involved the use of secondary data for these IBTs and the income constraint methods. The results showed that, apart from the technologies suitable for the provision of temporary structures, most of the other technologies were not affordable for the complete subsidisation of the top structure when both capital and lifecycle costs were used, except the Moladi and Robust structure IBTs under some low-income homeownership programmes. Further analysis using credit-linked subsidies revealed that the minimum household income required to achieve affordable homeownership (and their rankings) depends both on the evaluation technique (lifecycle or capital costs) and technology used. To improve affordability, any implementing government can either raise the amount of the top structure subsidy grant, promote the use of cheaper but durable IBTs, or promote the use in incremental building methods, such as the Enhanced People’s Housing Process (EPHP) for the case of South Africa. © 2022, Academy of Sciences of the Czech Republic, Institute of Sociology. All rights reserved.</t>
  </si>
  <si>
    <t>homeownership; housing affordability; housing finance; Innovative Building Technologies (IBTs); welfare policy</t>
  </si>
  <si>
    <t>ACADEMY OF SCIENCES OF THE CZECH REPUBLIC, INSTITUTE OF SOCIOLOGY</t>
  </si>
  <si>
    <t>Crit. Hous. Anal.</t>
  </si>
  <si>
    <t>Ley D.; Mountz A.; Mendez P.; Lees L.; Walton-Roberts M.; Helbrecht I.</t>
  </si>
  <si>
    <t>Ley, David; Mountz, Alison; Mendez, Pablo; Lees, Loretta; Walton-Roberts, Margaret; Helbrecht, Ilse</t>
  </si>
  <si>
    <t>Housing Vancouver, 1972-2017: A personal urban geography and a professional response Forum with David Ley and his former students</t>
  </si>
  <si>
    <t>CANADIAN GEOGRAPHER-GEOGRAPHE CANADIEN</t>
  </si>
  <si>
    <t>10.1111/cag.12663</t>
  </si>
  <si>
    <t>University of British Columbia; Wilfrid Laurier University; Carleton University; University of Leicester; Humboldt University of Berlin</t>
  </si>
  <si>
    <t>Ley D., Univ British Columbia, Dept Geog, Vancouver, BC, Canada; Mountz A. W. M., Wilfrid Laurier Univ, Dept Geog &amp; Environm Studies, Waterloo, ON, Canada; Mendez P., Carleton Univ, Dept Geog &amp; Environm Studies, Ottawa, ON, Canada; Lees L., Univ Leicester, Sch Geog Geol &amp; Environm, Leicester, Leics, England; Helbrecht I., Humboldt Univ, Dept Geog, Berlin, Germany</t>
  </si>
  <si>
    <t>The forum includes a research paper, preceded by a brief introduction and followed by five short responses from Pablo Mendez, Loretta Lees, Margaret Walton-Roberts, Ilse Helbrecht, and Alison Mountz. Mountz's introduction sets the context for the paper and makes some framing remarks on David Ley's career. The main paper examines the housing question in Vancouver, in the period from 1972 to 2017. Re-examining a number of Ley's research projects over this period, three broader themes are explored: the continuity of the housing crisis, and its reconfiguration over the period under study; the contrast between innovative and interventionist housing policy in the 1970s, with the later withdrawal of the state from significant intervention while endorsing market solutions; and the new centrality of housing as an empirical and analytical category in current human geography. This period saw upscaling from the 1970s welfare state to neoliberal globalization, including wealth immigration and off-shore property investment that accelerated serious metropolitan affordability problems. Following this research paper, colleagues and former students respond to the paper and locate the contributions in David Ley's broader career. Their commentaries address Ley's key contributions to debates in human geography, including his work on gentrification, urbanism, urban activism, global migration, art, aesthetics, and ethnography.</t>
  </si>
  <si>
    <t>welfare state; gentrification; affordability; property investment; wealth immigration</t>
  </si>
  <si>
    <t>IMMIGRANT ENTREPRENEURS; GLOBALIZATION; CANADA; GENTRIFICATION; PROPERTY; MARKET; POLICY; DEBT; CITY</t>
  </si>
  <si>
    <t>WILEY</t>
  </si>
  <si>
    <t>Can. Geogr.-Geogr. Can.</t>
  </si>
  <si>
    <t>Jonkman A.; Janssen-Jansen L.</t>
  </si>
  <si>
    <t>Jonkman, Arend (56341748900); Janssen-Jansen, Leonie (12782379300)</t>
  </si>
  <si>
    <t>Identifying Distributive Injustice Through Housing (Mis)Match Analysis: The Case of Social Housing in Amsterdam</t>
  </si>
  <si>
    <t>HOUSING, THEORY AND SOCIETY</t>
  </si>
  <si>
    <t>10.1080/14036096.2017.1348392</t>
  </si>
  <si>
    <r>
      <rPr>
        <u/>
        <sz val="10"/>
        <color rgb="FF000000"/>
        <rFont val="Helvetica Neue"/>
      </rPr>
      <t>https://www.scopus.com/inward/record.uri?eid=2-s2.0-85023170554&amp;doi=10.1080%2f14036096.2017.1348392&amp;partnerID=40&amp;md5=041e325ada3d6abcd0ccaa0b7e326fe1</t>
    </r>
  </si>
  <si>
    <t>Department of Human Geography, Planning and International Development, Urban Planning, University of Amsterdam, Amsterdam, Netherlands; Environmental Sciences, Land Use Planning Group, Wageningen University, Wageningen, Netherlands</t>
  </si>
  <si>
    <t>Jonkman A., Department of Human Geography, Planning and International Development, Urban Planning, University of Amsterdam, Amsterdam, Netherlands; Janssen-Jansen L., Environmental Sciences, Land Use Planning Group, Wageningen University, Wageningen, Netherlands</t>
  </si>
  <si>
    <t>In this paper, an analytical model for measuring match and mismatch between social housing units and their tenants is presented and applied to the social rented housing sector of Amsterdam, The Netherlands. Through the use of a large set of unique micro-data combining housing unit and household characteristics, mismatches on two key dimensions of physical adequacy and affordability and for different household types and parts of the city can be revealed. Empirically assessing the (mis)match of social housing units at a small scale–where socio and spatial (mis)matches manifest–creates opportunities for innovation in the analysis of effects of market mechanisms and local housing allocation policies. An improved understanding of these mismatches based on a strong empirical base can be related to and evaluated against different principles of distributive justice. The findings for the case of Amsterdam show that the famous large social housing stock incorporates significant mismatches. Households in the least popular parts of the city comparatively do not live affordably and large inequities exist between households based on length of residence. These findings offer a basis for further exploration of the complex of housing allocation, changing housing distributions and the resulting outcomes in terms of distributive justice. © 2017, © 2017 The Author(s). Published by Informa UK Limited, trading as Taylor &amp; Francis Group.</t>
  </si>
  <si>
    <t>Amsterdam; Housing mismatch; Housing policy; Social housing; Socio-spatial justice</t>
  </si>
  <si>
    <t>AMSTERDAM [NORTH HOLLAND]; NETHERLANDS; NORTH HOLLAND; AFFORDABLE HOUSING; EMPIRICAL ANALYSIS; HOUSING MARKET; HOUSING POLICY; INNOVATION; RENTAL SECTOR; SOCIAL HOUSING; SOCIAL JUSTICE</t>
  </si>
  <si>
    <t>Hous. theory. soc.</t>
  </si>
  <si>
    <t>Gunderson M.; Cukier W.</t>
  </si>
  <si>
    <t>Gunderson, Morley (56220931300); Cukier, Wendy (6603567951)</t>
  </si>
  <si>
    <t>Immigrants and house prices: myths and realities</t>
  </si>
  <si>
    <t>EQUALITY, DIVERSITY AND INCLUSION</t>
  </si>
  <si>
    <t>10.1108/EDI-05-2024-0196</t>
  </si>
  <si>
    <r>
      <rPr>
        <u/>
        <sz val="10"/>
        <color rgb="FF000000"/>
        <rFont val="Helvetica Neue"/>
      </rPr>
      <t>https://www.scopus.com/inward/record.uri?eid=2-s2.0-85207216379&amp;doi=10.1108%2fEDI-05-2024-0196&amp;partnerID=40&amp;md5=cd91a0459fa766363abcd1b818dcdac7</t>
    </r>
  </si>
  <si>
    <t>University of Toronto, Toronto, Canada; Toronto Metropolitan University, Toronto, Canada</t>
  </si>
  <si>
    <t>Gunderson M., University of Toronto, Toronto, Canada; Cukier W., Toronto Metropolitan University, Toronto, Canada</t>
  </si>
  <si>
    <t>Purpose: This paper aims to dissect myths from realities. It delves into the nuanced relationship between immigration and housing, emphasizing that while correlation exists, causation is not straightforward. By exploring factors beyond immigration driving housing costs and the multifaceted impact of immigration on labour markets and economic growth, the paper seeks to inform evidence-based policies. It underscores immigration's pivotal role in filling labour shortages, fostering innovation and offsetting demographic challenges. Ultimately, the paper advocates for nuanced policy responses that acknowledge immigration's contributions while addressing housing affordability concerns, steering away from simplistic narratives and embracing the complexities of the issue. Design/methodology/approach: Our methodology entails a comprehensive review of literature to elucidate the complex relationship between immigration and housing prices in Canada. We examine studies estimating causal effects of immigration on housing prices, while also considering myriad factors influencing housing demand and supply. Moreover, we analyse government immigration policies to assess their impact on housing markets. Additionally, we integrate insights from economic theory to understand the interconnectedness between immigration, labour markets and housing affordability. Through rigorous analysis and synthesis of existing research, we aim to provide clarity on the myths and realities surrounding the perceived link between immigration and housing prices. Findings: The paper highlights Canada's historical support for immigration and its substantial benefits, including addressing labour shortages, enhancing economic growth and cultural diversity. However, concerns over immigration's impact on housing prices have shifted public opinion. While immigration is often correlated with housing price increases, causality is complex, with myriad factors at play. Few studies estimate a small, varied effect of immigration on housing prices. Importantly, immigrants increasingly settle in areas with lower housing costs, suggesting self-correcting equilibrium. Immigration also serves as a vital labour source, potentially alleviating housing supply bottlenecks. Restrictive immigration policies risk overlooking these multifaceted contributions to the economy and housing markets. Originality/value: The paper delineates the complex relationship between immigration and housing prices in Canada, elucidating that while immigration is often correlated with housing price increases, it may not be the causal factor. It highlights the myriad of factors, beyond immigration, influencing housing demand and supply. Despite concerns over immigrants' impact on housing affordability, their contribution to labour markets, innovation and economic growth is substantial. The discussion underscores the importance of informed policies that address both housing affordability and labor market needs. Immigration, far from being solely a factor driving up housing prices, serves as a vital source of labour, fostering economic vitality and cultural diversity in Canada. © 2024, Emerald Publishing Limited.</t>
  </si>
  <si>
    <t>Canada; Housing prices; Immigrants; Labour market; Qualitative</t>
  </si>
  <si>
    <t>Equal. Diversity Incl.</t>
  </si>
  <si>
    <t>Payne M.</t>
  </si>
  <si>
    <t>Payne, Martin (56936384100)</t>
  </si>
  <si>
    <t>Implementation of Urban Development in Sydney: Recent Experience and Future Issues</t>
  </si>
  <si>
    <t>URBAN POLICY AND RESEARCH</t>
  </si>
  <si>
    <t>10.1080/08111149008551443</t>
  </si>
  <si>
    <r>
      <rPr>
        <u/>
        <sz val="10"/>
        <color rgb="FF000000"/>
        <rFont val="Helvetica Neue"/>
      </rPr>
      <t>https://www.scopus.com/inward/record.uri?eid=2-s2.0-84945766056&amp;doi=10.1080%2f08111149008551443&amp;partnerID=40&amp;md5=6f0bf9c8c0f8693cc0cb32e08d25a35f</t>
    </r>
  </si>
  <si>
    <t>New urban development is viewed as primarily being about the production of housing and therefore closely related to housing policies. Recent innovations for implementing new urban development at the fringe of Sydney are commented on, and the possibility of increased servicing costs and consequent reduced housing affordability is raised. Given the scarcity of public funds and concern for housing output, the paper argues for moves towards a user-pays approach for pricing serviced land, but with greater assistance for housing output. Furthermore, it is suggested that the concern for avoiding scarcity and managing the supply of serviced land is secondary to the main aim of achieving housing oupuL. © 1990, Taylor &amp; Francis Group, LLC. All rights reserved.</t>
  </si>
  <si>
    <t>Urban Policy Res.</t>
  </si>
  <si>
    <t>Grinstein-Weiss M.; Chowa G.A.N.; Casalotti A.M.</t>
  </si>
  <si>
    <t>Grinstein-Weiss, Michal; Chowa, Gina A. N.; Casalotti, Adriane M.</t>
  </si>
  <si>
    <t>Individual Development Accounts for Housing Policy: Analysis of Individual and Program Characteristics</t>
  </si>
  <si>
    <t>PII 917826832</t>
  </si>
  <si>
    <t>10.1080/02673030903362035</t>
  </si>
  <si>
    <t>University of North Carolina; University of North Carolina Chapel Hill</t>
  </si>
  <si>
    <t>Grinstein-Weiss M., Univ N Carolina, Sch Social Work, Chapel Hill, NC 27599 USA; Chowa G. A. N., Univ N Carolina, Sch Social Work, Chapel Hill, NC 27599 USA; Casalotti A. M., Univ N Carolina, Sch Social Work, Chapel Hill, NC 27599 USA</t>
  </si>
  <si>
    <t>Homeownership is a desirable goal for most Americans and is considered an integral part of the American Dream. Empirical studies indicate homeownership has many positive outcomes. However, homeownership is not prevalent among low-income populations. Individual Development Accounts (IDAs) are matched savings accounts designed to help the working poor save for a home or other assets. This paper examines the savings outcomes of IDA participants saving for a home in the American Dream Policy Demonstration, which was the first large-scale test of IDAs. Data were collected from 1997 to 2001 on 1176 participants saving to purchase a home. Results indicate that low-income IDA participants can successfully save when provided structured opportunities. This paper examines individual and program characteristics that are important to explaining saving behaviors. Implications for policy makers, program administrators, and future research are given.</t>
  </si>
  <si>
    <t>Assets; homeownership; housing affordability; housing policy; IDAs; poverty</t>
  </si>
  <si>
    <t>HOMEOWNERSHIP; INCOME; INNOVATION</t>
  </si>
  <si>
    <t>Milligan V.; Gurran N.; Lawson J.; Phibbs P.; Phillips R.</t>
  </si>
  <si>
    <t>Milligan, Vivienne (15062972200); Gurran, Nicole (16315593600); Lawson, Julie (15919591500); Phibbs, Peter (7003460041); Phillips, Rhonda (37014687000)</t>
  </si>
  <si>
    <t>Innovation in affordable housing in Australia: Bringing policy and practice for not-for-profit housing organisations together</t>
  </si>
  <si>
    <r>
      <rPr>
        <u/>
        <sz val="10"/>
        <color rgb="FF000000"/>
        <rFont val="Helvetica Neue"/>
      </rPr>
      <t>https://www.scopus.com/inward/record.uri?eid=2-s2.0-84907583406&amp;partnerID=40&amp;md5=0d29069e0fdfb282bbe912d9e771ed40</t>
    </r>
  </si>
  <si>
    <t>UNSW-UWS Research Centre, Sydney Research Centre, Queensland Research Centre, Australia</t>
  </si>
  <si>
    <t>Milligan V., UNSW-UWS Research Centre, Sydney Research Centre, Queensland Research Centre, Australia; Gurran N., UNSW-UWS Research Centre, Sydney Research Centre, Queensland Research Centre, Australia; Lawson J., UNSW-UWS Research Centre, Sydney Research Centre, Queensland Research Centre, Australia; Phibbs P., UNSW-UWS Research Centre, Sydney Research Centre, Queensland Research Centre, Australia; Phillips R., UNSW-UWS Research Centre, Sydney Research Centre, Queensland Research Centre, Australia</t>
  </si>
  <si>
    <t xml:space="preserve">The organisations studied Within Australias highly diversified not-for-profit housing system, the focus of this study is on those housing providers that are, or are considering, undertaking more financing and development of their own housing. In the study such organisations are defined as having: A social goal to provide well located housing that is affordable for a range of low to moderate income households; Financial capacity to secure their own housing finance and assets; Organisational capacity and skills to initiate, develop and maintain a portfolio of housing assets; and A strategic intent to operate at a scale that would be sufficient to generate additional housing production on a regular basis, to achieve operational efficiencies and to help to generate further innovative responses to defined housing needs.; The purpose and context of the research This study investigates the policy environment and accomplishments of emerging not-for-profit housing developers in Australia. The core purpose is to understand the current operating environment of these agencies and to identify directions for policy that could enable these or similar organisations to make larger scale contributions to the provision of affordable housing in Australia. The report of the research builds on and updates a previous AHURI funded study of the engagement of not-for-profit organisations in developing affordable housing, which was completed in 2004 (Milligan et al. 2004). This follow-up study offers a timely opportunity to assess progress in policy and practice against the benchmarks and proposed directions laid down in the earlier research. A key question is how far Australia has come in establishing a viable and sustainable not-for-profit affordable housing industry and what additional policy effort will be required. The time period examined covers 2004 to early 2009, with most data collection being undertaken in 2008. That period has been marked by significant developments in the funding, policy, regulatory and delivery frameworks for affordable housing in Australia, commencing with changes led mainly by state and territory jurisdictions followed by a suite of national initiatives since 2008. As this study was being finalised, the market and policy contexts impacting on affordable housing providers were shifting rapidly, under the influence of both global financial and economic conditions and local changes in policy guided by the Council of Australian Governments. This was also a period of deepening affordability problems. While many factors contribute to housing affordability trends, supply side aspects, including the availability of land; land development processes and policies; infrastructure costs; the costs of construction; and property related taxes are recognised widely as key components.  </t>
  </si>
  <si>
    <t>Kraatz J.A.</t>
  </si>
  <si>
    <t>Kraatz, Judy A. (55577374000)</t>
  </si>
  <si>
    <t>Innovative approaches to building housing system resilience: a focus on the Australian social and affordable housing system</t>
  </si>
  <si>
    <t>AUSTRALIAN PLANNER</t>
  </si>
  <si>
    <t>3-4</t>
  </si>
  <si>
    <t>10.1080/07293682.2019.1632361</t>
  </si>
  <si>
    <r>
      <rPr>
        <u/>
        <sz val="10"/>
        <color rgb="FF000000"/>
        <rFont val="Helvetica Neue"/>
      </rPr>
      <t>https://www.scopus.com/inward/record.uri?eid=2-s2.0-85075099889&amp;doi=10.1080%2f07293682.2019.1632361&amp;partnerID=40&amp;md5=5497c8c080ac0a53c90281ce47465eef</t>
    </r>
  </si>
  <si>
    <t>Cities Research Institute, Griffith University, Nathan, Australia</t>
  </si>
  <si>
    <t>Kraatz J.A., Cities Research Institute, Griffith University, Nathan, Australia</t>
  </si>
  <si>
    <t>Housing is a complex, integrated network of social and economic infrastructure. Improving the overall provision, suitability and socio-economic resilience of our housing system is needed. This requires new typologies to accommodate changing demographics, and to address the critical issues of access and affordability. Current pressure across the housing system is resulting in long waiting lists for social housing and a lack of affordable rental housing. Meanwhile, we have an oversupply of some social housing types, indicating a mismatch between what is being supplied, and what is needed. Tiny houses, elder co-housing, inclusionary zoning and the use of vacant infrastructure are some of the emerging approaches available to address current system shortfalls and build future system resilience. Such innovations pose many challenges, including for our planning systems. This paper discusses these approaches, with a focus on both asset and social needs, in order to inform the development of a more accessible, robust and resilient social and affordable housing system. This is done in the context of recent research which developed social procurement criteria which aim to enable more expansive thinking by those developing policy and delivering outcomes in this space. © 2019, © 2019 Informa UK Limited, trading as Taylor &amp; Francis Group.</t>
  </si>
  <si>
    <t>affordable housing; elder co-housing; Social housing; social procurement; tiny houses</t>
  </si>
  <si>
    <t>Aust. Plann.</t>
  </si>
  <si>
    <t>Gurran N.; Rowley S.; Milligan V.; Randolph B.; Phibbs P.; Gilbert C.; James A.; Troy L.; Van Den Nouwelant R.</t>
  </si>
  <si>
    <t>Gurran, Nicole (16315593600); Rowley, Steven (7006249092); Milligan, Vivienne (15062972200); Randolph, Bill (24169444100); Phibbs, Peter (7003460041); Gilbert, Catherine (7201382636); James, Amity (56129373400); Troy, Laurence (56396805400); Van Den Nouwelant, Ryan (56040087800)</t>
  </si>
  <si>
    <t>Inquiry into increasing affordable housing supply: Evidence-based principles and strategies for Australian policy and practice</t>
  </si>
  <si>
    <t>10.18408/ahuri-7313001</t>
  </si>
  <si>
    <r>
      <rPr>
        <u/>
        <sz val="10"/>
        <color rgb="FF000000"/>
        <rFont val="Helvetica Neue"/>
      </rPr>
      <t>https://www.scopus.com/inward/record.uri?eid=2-s2.0-85071367224&amp;doi=10.18408%2fahuri-7313001&amp;partnerID=40&amp;md5=d59f3dd1bf4f04207379382aff082992</t>
    </r>
  </si>
  <si>
    <t>University of Sydney, Australia; Curtin University, Australia; University of New South Wales, Australia</t>
  </si>
  <si>
    <t>Gurran N., University of Sydney, Australia; Rowley S., Curtin University, Australia; Milligan V., University of New South Wales, Australia; Randolph B., University of New South Wales, Australia; Phibbs P., University of Sydney, Australia; Gilbert C., University of Sydney, Australia; James A., Curtin University, Australia; Troy L., University of New South Wales, Australia; Van Den Nouwelant R., University of New South Wales, Australia</t>
  </si>
  <si>
    <t>Key findings This is the Final Report of an AHURI Inquiry into the range of strategies and initiatives that governments have used to leverage affordable housing supply in a constrained funding and increasingly market-driven context. With existing levels of social housing insufficient to meet current and projected needs, an estimated deficit of over 200,000 affordable dwellings, and mounting barriers to first home ownership, the need for significant reform and innovation across the governance, policy and financial parameters framing affordable housing supply is widely recognised (Yates 2016, Ong, Dalton et al. 2017, Rowley, Leishman et al. 2017). Through three interlinked research projects and engagement with policy and industry through panel meetings and during the research itself through interviews and dialogue, this Inquiry examined how governments have sought to increase the supply of affordable housing across the continuum of housing needs; and the implications for transferring policy and practice to different jurisdictions and market contexts. Drawing on recent, but established, cases these projects examined: • how governments have sought to catalyse market activity and generate industry innovation through investment, partnerships, institutional support, financial products and tenure arrangements • the outcomes of planning system approaches to boost the supply of affordable homes or overcome barriers to their development, and • the ways in which different subsidy levers and financial arrangements come together in a series of case study exemplar projects that address local housing need, and the demonstrable affordability outcomes for given policy scenarios in different market contexts. Key findings are summarised below. How have governments sought to catalyse market activity and generate industry innovation, to support affordable housing supply? • Australian Government funding has proved critical in delivering affordable housing at scale, for example social housing delivered as part of the Nation Building Initiative, and affordable rental housing delivered under the National Rental Affordability Scheme (NRAS). Although not ongoing, these national funding schemes catalysed greater industry innovation and diversified the range of affordable rental housing options delivered in Australia. © Australian Housing and Urban Research Institute Limited 2018.</t>
  </si>
  <si>
    <t>Affordable housing; Housing finance; Housing stock; Supply; Urban planning</t>
  </si>
  <si>
    <t>Paris C.; Beer A.; Martin J.; Morris A.; Budge T.; Horne S.</t>
  </si>
  <si>
    <t>Paris, Chris (14045651400); Beer, Andrew (7102778065); Martin, John (55727511800); Morris, Alan (57196263023); Budge, Trevor (56310194800); Horne, Sandy (57211456039)</t>
  </si>
  <si>
    <t>International Perspectives on Local Government and Housing: The Australian Case in Context</t>
  </si>
  <si>
    <t>10.1080/08111146.2020.1753690</t>
  </si>
  <si>
    <r>
      <rPr>
        <u/>
        <sz val="10"/>
        <color rgb="FF000000"/>
        <rFont val="Helvetica Neue"/>
      </rPr>
      <t>https://www.scopus.com/inward/record.uri?eid=2-s2.0-85084485363&amp;doi=10.1080%2f08111146.2020.1753690&amp;partnerID=40&amp;md5=721cc1dc1bedc8b4ccad30c875fcb288</t>
    </r>
  </si>
  <si>
    <t>University of Ulster, Coleraine, United Kingdom; University of South Australia Business School, Dean of Research and Innovation, Australia; La Trobe University, Melbourne, Australia; University of Technology Sydney, Sydney, Australia; La Trobe University, Melbourne, Australia; University of South Australia, Adelaide, Australia</t>
  </si>
  <si>
    <t>Paris C., University of Ulster, Coleraine, United Kingdom; Beer A., University of South Australia Business School, Dean of Research and Innovation, Australia; Martin J., La Trobe University, Melbourne, Australia; Morris A., University of Technology Sydney, Sydney, Australia; Budge T., La Trobe University, Melbourne, Australia; Horne S., University of South Australia, Adelaide, Australia</t>
  </si>
  <si>
    <t>This paper examines the role of local government in the provision of housing across advanced economies in the contemporary economy and historically, while seeking to locate the Australian experience in a broader international perspective. The paper finds that ongoing challenges have given rise to policy innovation and new programmatic perspective. These developments have reflected non-systematic, and often disruptive, change rather than the continuation of predictable trends. The paper argues such evolution will continue and will be more likely to deliver benefits to the local government sector and housing affordability if acknowledged and enabled by more senior tiers of government. 本文探讨了在当代经济和历史上的发达经济体中，地方政府在提供住房方面的作用，同时试图从更广阔的国际视角来定位澳大利亚的经验. 报告发现，持续的挑战带来了政策创新和新的规划视角. 这些发展反映了非系统的、往往是破坏性的变化，而不是可预测的趋势的继续. 该论文认为，这种演变将继续下去，如果得到更高层政府的承认和支持，将更有可能为地方政府部门和住房负担能力带来好处. © 2020, © 2020 The Author(s). Published by Informa UK Limited, trading as Taylor &amp; Francis Group.</t>
  </si>
  <si>
    <t>federalism; housing; international comparison; Local government; policy</t>
  </si>
  <si>
    <t>Das A.</t>
  </si>
  <si>
    <t>Das, Ashok (57051895200)</t>
  </si>
  <si>
    <t>Is innovative also effective? A critique of pro-poor shelter in South-East Asia</t>
  </si>
  <si>
    <t>10.1080/14616718.2016.1248606</t>
  </si>
  <si>
    <r>
      <rPr>
        <u/>
        <sz val="10"/>
        <color rgb="FF000000"/>
        <rFont val="Helvetica Neue"/>
      </rPr>
      <t>https://www.scopus.com/inward/record.uri?eid=2-s2.0-85018261292&amp;doi=10.1080%2f14616718.2016.1248606&amp;partnerID=40&amp;md5=be14f2544dac6de06c8b8e1565a134d2</t>
    </r>
  </si>
  <si>
    <t>Department of Urban and Regional Planning, University of Hawaii at Mānoa, Honolulu, HI, United States</t>
  </si>
  <si>
    <t>Das A., Department of Urban and Regional Planning, University of Hawaii at Mānoa, Honolulu, HI, United States</t>
  </si>
  <si>
    <t>As developing Asia transforms under neoliberalism and decentralisation, urban inequality and housing deprivation are deepening. Are contemporary shelter innovations for the poor in developing Asia effective? How? Why? These questions lead this paper to qualitatively critique and compare four innovative shelter programmes from Thailand, Indonesia and the Philippines. Here, innovative implies an enlargement of the roles of local governments and/or other stakeholders in shelter delivery. The analysis illuminates how the historical evolution of institutions affects a programme's institutional arrangements; which, with other contextual idiosyncrasies, impact objectives and outcomes. The paper posits scalability, habitability, affordability, accessibility and inclusivity as dimensions of effectiveness. It finds that under neoliberal influences shelter policy's pro-poor focus is shrinking. Albeit context-specific, the outcomes reveal key influential commonalities: (1) multi-stakeholder arrangements with non-state partners are more effective; (2) greater civil society and community participation yield more equity; (3) strong leadership by some institutional partner is imperative; (4) private sector involvement can significantly boost scaling-up. The findings offer lessons for improving pro-poor shelter policies and suggest future research needs and pathways. © 2016 Informa UK Limited, trading as Taylor &amp; Francis Group.</t>
  </si>
  <si>
    <t>Indonesia; Philippines; pro-poor housing; rental flats; resettlement; shelter upgrading; Thailand</t>
  </si>
  <si>
    <t>INDONESIA; PHILIPPINES; SOUTHEAST ASIA; THAILAND; AFFORDABLE HOUSING; FUTURE PROSPECT; HOUSING POLICY; HOUSING PROJECT; HOUSING PROVISION; INNOVATION; LOCAL GOVERNMENT; NEOLIBERALISM; RESETTLEMENT POLICY; STAKEHOLDER</t>
  </si>
  <si>
    <t>Deininger K.; Goyal A.</t>
  </si>
  <si>
    <t>Deininger, Klaus (6701857553); Goyal, Aparajita (55096797300)</t>
  </si>
  <si>
    <t>Land Policies and Institutions for Equitable and Resilient Growth in Africa</t>
  </si>
  <si>
    <t>WORLD BANK RESEARCH OBSERVER</t>
  </si>
  <si>
    <t>10.1093/wbro/lkae005</t>
  </si>
  <si>
    <r>
      <rPr>
        <u/>
        <sz val="10"/>
        <color rgb="FF000000"/>
        <rFont val="Helvetica Neue"/>
      </rPr>
      <t>https://www.scopus.com/inward/record.uri?eid=2-s2.0-85215989115&amp;doi=10.1093%2fwbro%2flkae005&amp;partnerID=40&amp;md5=f2a79be16cf0f9d26f4257c3aa763391</t>
    </r>
  </si>
  <si>
    <t>World Bank, United States</t>
  </si>
  <si>
    <t>Deininger K., World Bank, United States; Goyal A., World Bank, United States</t>
  </si>
  <si>
    <t>In coming decades, Africa's urban populations will expand, and the effects of climate change be more keenly felt. Land policies and institutions will be key for urban dwellers to be able access productive jobs, breathe clean air, and live in decent housing; for entrepreneurs, especially women, to leverage land for productive investment; and for farmers to diversify, insure against shocks, and accumulate capital. Yet, many African land registries perform poorly, command little trust, and have failed to capitalize on opportunities to improve quality, relevance, and outreach via digital interoperability, use of earth observation, and connectivity. Literature highlights scope for regulatory and institutional reforms to (a) expand property taxation and land value capture and to improve urban service delivery, planning, and land use regulations; (b) increase quality and affordability of land services and access to land price and ownership data; (c) guide issuance of rural land use rights to reduce barriers to rural factor markets, including by spatially enabling farmer registries to improve subsidy targeting and effectiveness; and (d) demarcation and transparent decentralized management of public land to attract investment, including in climate finance, without fueling corruption, and to manage disputes before they escalate into ethnic violence. © 2024 International Bank for Reconstruction and Development / The World Bank. Published by Oxford University Press.</t>
  </si>
  <si>
    <t>financial markets; gender; land prices; structural transformation; urban property tax</t>
  </si>
  <si>
    <t>AFRICA; INSTITUTIONAL REFORM; LAND MANAGEMENT; LAND MARKET; TAX SYSTEM; URBAN GROWTH; URBAN POLICY</t>
  </si>
  <si>
    <t>OXFORD UNIVERSITY PRESS</t>
  </si>
  <si>
    <t>World Bank Res. Obs.</t>
  </si>
  <si>
    <t>Gilmour T.; Milligan V.</t>
  </si>
  <si>
    <t>Gilmour, Tony (41861368600); Milligan, Vivienne (15062972200)</t>
  </si>
  <si>
    <t>Let a hundred flowers bloom: Innovation and diversity in australian not-for-profit housing organisations</t>
  </si>
  <si>
    <t>10.1080/02673037.2012.677019</t>
  </si>
  <si>
    <r>
      <rPr>
        <u/>
        <sz val="10"/>
        <color rgb="FF000000"/>
        <rFont val="Helvetica Neue"/>
      </rPr>
      <t>https://www.scopus.com/inward/record.uri?eid=2-s2.0-84868103748&amp;doi=10.1080%2f02673037.2012.677019&amp;partnerID=40&amp;md5=e4e0dfdefa0278e77a54b5d6aaeb81c0</t>
    </r>
  </si>
  <si>
    <t>The Swinburne Institute, Swinburne Institute of Technology, Melbourne, VIC, Australia; City Futures Research Centre, University of New South Wales, Kensington, NSW, Australia</t>
  </si>
  <si>
    <t>Gilmour T., The Swinburne Institute, Swinburne Institute of Technology, Melbourne, VIC, Australia; Milligan V., City Futures Research Centre, University of New South Wales, Kensington, NSW, Australia</t>
  </si>
  <si>
    <t>Australian social housing policy continues to move away from a traditional hierarchical public housing model. The small but fast growing not-for-profit sector has expanded through the introduction of private finance, a tax credit scheme, stock transfers, planning incentives and an economic stimulus package. This article examines the diverse ways in which the leading notfor-profit providers in Australia have responded to these opportunities, using the concept of organisational hybridity. Coverage of hybridity includes both established housing providers and emergent third sector organisations including finance consolidators, development consortia and cross-subsidisation vehicles. Using information from interviews, organisational case studies and documentation, this paper assesses the drivers for the growth of hybridity in Australia. The policy implications for governments steering a diverse housing sector through promoting hybrid organisations are discussed, and reflections are provided on the opportunities and limitations of using hybridity analytical frameworks. An issue to emerge from the analysis is the diversity of organisational forms, financing models and strategic orientation of hybrid organisations promoted through the same policy settings. © 2012 Taylor &amp; Francis.</t>
  </si>
  <si>
    <t>Housing affordability; Housing supply; Not-for-profit providers; Social housing</t>
  </si>
  <si>
    <t>AUSTRALIA; AFFORDABLE HOUSING; ANALYTICAL FRAMEWORK; FINANCE; HOUSING POLICY; INCENTIVE; INNOVATION; SOCIAL HOUSING</t>
  </si>
  <si>
    <t>Ehlenz M.</t>
  </si>
  <si>
    <t>Ehlenz, Meagan (57190756232)</t>
  </si>
  <si>
    <t>Managing the land access paradox in the urbanising world</t>
  </si>
  <si>
    <t>10.13060/23362839.2014.1.1.26</t>
  </si>
  <si>
    <r>
      <rPr>
        <u/>
        <sz val="10"/>
        <color rgb="FF000000"/>
        <rFont val="Helvetica Neue"/>
      </rPr>
      <t>https://www.scopus.com/inward/record.uri?eid=2-s2.0-85028664007&amp;doi=10.13060%2f23362839.2014.1.1.26&amp;partnerID=40&amp;md5=aaaf90ebfda208890415b0430c400667</t>
    </r>
  </si>
  <si>
    <t>Department of City and Regional Planning, University of Pennsylvania, United States</t>
  </si>
  <si>
    <t>Ehlenz M., Department of City and Regional Planning, University of Pennsylvania, United States</t>
  </si>
  <si>
    <t>In the midst of rapid urbanisation and economic growth, the developing world faces challenges in the relationships between land, poverty, and security. Rising social and economic exclusion and insufficient land regulations have spawned an informal housing sector. Given the risk to the broad base of middle- and low-income households in developing countries and the growing demands in urbanising land markets, it is imperative that governments develop a more fine-grained understanding of their land and housing policies. Local authorities must also begin to consider innovative ways to preserve affordability in a market-responsive way. Community land trusts (CLTs) provide one means of resolving the paradox between formalising land ownership and mitigating exclusion from an increasingly unaffordable land market. CLTs seek to balance private property rights, which are the cornerstone of modern land markets and individual wealth, with the affordability and accessibility needs of the community. © 2014, Academy of Sciences of the Czech Republic, Institute of Sociology. All rights reserved.</t>
  </si>
  <si>
    <t>Community land trusts; Developing countries; Land markets; Land tenure</t>
  </si>
  <si>
    <t>Sharam A.; Byford M.; Karabay B.; McNelis S.; Burke T.</t>
  </si>
  <si>
    <t>Sharam, Andrea (55636751300); Byford, Martin (26641751600); Karabay, Bilgehan (25643298900); McNelis, Sean (6506681874); Burke, Terry (36600007200)</t>
  </si>
  <si>
    <t>Matching markets in housing and housing assistance</t>
  </si>
  <si>
    <t>10.18408/ahuri-5315301</t>
  </si>
  <si>
    <r>
      <rPr>
        <u/>
        <sz val="10"/>
        <color rgb="FF000000"/>
        <rFont val="Helvetica Neue"/>
      </rPr>
      <t>https://www.scopus.com/inward/record.uri?eid=2-s2.0-85070866992&amp;doi=10.18408%2fahuri-5315301&amp;partnerID=40&amp;md5=613fdd7422b3d98e6b7f441b2842f0f8</t>
    </r>
  </si>
  <si>
    <t>RMIT University, Australia; Swinburne University of Technology, Australia</t>
  </si>
  <si>
    <t>Sharam A., RMIT University, Australia; Byford M., RMIT University, Australia; Karabay B., RMIT University, Australia; McNelis S., Swinburne University of Technology, Australia; Burke T., Swinburne University of Technology, Australia</t>
  </si>
  <si>
    <t>This research proposes ways policy makers might consider the digital platform revolution in relation to housing markets. Platforms such as Airbnb and Uber replaced existing matching market managers. Their very substantial improvement in performance has been made possible by technology—more powerful computer chips; the Internet; the World Wide Web; broadband communication, and programming and operating systems that have dramatically reduced the search and transaction costs that previously meant many matching markets did not function well. The housing system is comprised of numerous matching markets. This research identifies five sub optimal matching markets in housing, and proposes solutions: swaps and transfers in public housing—we outline how social housing tenant mobility and stock utilisation can be improved by the use of an algorithm to facilitate chain-letting. accessible housing—a reiteration of the Victorian-based Housing Hub would improve the discoverability of accessible properties and matching to people living with disability. low-cost private rental housing—some low-cost private rental housing, currently occupied by higher income households can be matched to lower-income households using a headlease program. apartment supply for low/mid income earners—development of apartments can be de-risked by a focus on owner-occupiers, quality and design, which addresses settlement risk, reduces the profit margins required, thus improves affordability, and better matches supply and demand. precinct-level urban development—coordination is a problem impeding the redevelopment of greyfield suburbs. A citywide platform is proposed, which can enrol landowners and others at any time, permitting them to indicate their interest in participating in potential redevelopment projects. © Australian Housing and Urban Research Institute Limited 2018</t>
  </si>
  <si>
    <t>Affordable housing; Digital platform; Home ownership; Housing assistance; Market design; Matching markets; Private rental; Urban redevelopment</t>
  </si>
  <si>
    <t>Chen R.; Jiang H.; Quintero L.E.</t>
  </si>
  <si>
    <t>Chen, Ruoyu (58098021500); Jiang, Hanchen (58098220300); Quintero, Luis E. (57226030790)</t>
  </si>
  <si>
    <t>Measuring the value of rent stabilization and understanding its implications for racial inequality: Evidence from New York City</t>
  </si>
  <si>
    <t>REGIONAL SCIENCE AND URBAN ECONOMICS</t>
  </si>
  <si>
    <t>10.1016/j.regsciurbeco.2023.103948</t>
  </si>
  <si>
    <r>
      <rPr>
        <u/>
        <sz val="10"/>
        <color rgb="FF000000"/>
        <rFont val="Helvetica Neue"/>
      </rPr>
      <t>https://www.scopus.com/inward/record.uri?eid=2-s2.0-85174831248&amp;doi=10.1016%2fj.regsciurbeco.2023.103948&amp;partnerID=40&amp;md5=792634f0e88dace459cb78954d07313b</t>
    </r>
  </si>
  <si>
    <t>Department of Economics, University of Windsor, Canada; Department of Economics, University of North Texas, United States; Carey Business School, Johns Hopkins University, United States</t>
  </si>
  <si>
    <t>Chen R., Department of Economics, University of Windsor, Canada; Jiang H., Department of Economics, University of North Texas, United States; Quintero L.E., Carey Business School, Johns Hopkins University, United States</t>
  </si>
  <si>
    <t>Amid a renewed interest in rent control due to the housing affordability crisis, the scope and distribution of its benefits remain underexplored. Using methodological innovations, this study quantifies rent discounts for rent-stabilized units in New York City (NYC) from 2002 to 2017. We estimate an average discount of $410 per month. Additionally, we note that these discounts are: (1) not progressively distributed towards lower-income households; (2) more pronounced in Manhattan and increasing in gentrifying areas; and (3) double for households correctly aware of the policy. The aggregate rent discounts range between $4 and $5.4 billion annually, representing 10%–14% of the federal budget for means-tested housing programs. While White tenants received larger rent discounts in the 2000s, racial disparities in these discounts have largely diminished since 2011, consistent with patterns in spatial sorting and gentrification. © 2023 Elsevier B.V.</t>
  </si>
  <si>
    <t>Gentrification; Racial inequality; Rent control; Rent regulation; Rent stabilization</t>
  </si>
  <si>
    <t>KANSAS; MANHATTAN; NEW YORK [NEW YORK (STT)]; NEW YORK [UNITED STATES]; UNITED STATES; AFFORDABLE HOUSING; GENTRIFICATION; LOW INCOME HOUSING; RACIAL DISPARITY; RENT CONTROL</t>
  </si>
  <si>
    <t>ELSEVIER B.V.</t>
  </si>
  <si>
    <t>Reg. Sci. Urban Econ.</t>
  </si>
  <si>
    <t>Donald O.</t>
  </si>
  <si>
    <t>Donald, Owen (55327405700)</t>
  </si>
  <si>
    <t>Moving in and unpacking: Exploring issues in housing supply and demand</t>
  </si>
  <si>
    <t>5TH AUSTRALASIAN HOUSING RESEARCHERS' CONFERENCE</t>
  </si>
  <si>
    <r>
      <rPr>
        <u/>
        <sz val="10"/>
        <color rgb="FF000000"/>
        <rFont val="Helvetica Neue"/>
      </rPr>
      <t>https://www.scopus.com/inward/record.uri?eid=2-s2.0-84864565906&amp;partnerID=40&amp;md5=e9afd67a93a760c9968d1d3e7a676569</t>
    </r>
  </si>
  <si>
    <t>National Housing Supply Council, Australia</t>
  </si>
  <si>
    <t>Donald O., National Housing Supply Council, Australia</t>
  </si>
  <si>
    <t>Under its mandate of investigating issues of supply, demand and affordability, the National Housing Supply Council (the Council) presents estimates and projections of housing demand and supply in its annual State of Supply Report. This paper outlines key findings of the 2010 report and the key research questions and methodological issues identified as priorities for inclusion in forthcoming reports. Research questions of keen interest to the Council include an exploration of key elements driving housing demand, particularly changing household size (including a review of estimates of household size and analysis of the reasons for change over time), intergenerational change in housing preferences, and the housing needs and preferences of new settlers to Australia. The Council is also exploring supply issues through an investigation of factors constraining the availability of development finance and their impact on construction activity. The allied housing supply issue of lengthy development assessment processes and their impact on land and housing costs is also being explored. A key area of policy concern is the 'demand-supply gap' or the shortfall of dwellings relative to underlying demand, the way this affects housing affordability and access to housing among various population sub-groups, and the impact of supply and affordability constraints on effective demand. Capacity constraints in the housing construction industry and innovations to increase productivity and affordability are also areas of interest.</t>
  </si>
  <si>
    <t>CONSTRUCTION INDUSTRY; ECONOMICS; RESEARCH; AUSTRALIA; CAPACITY CONSTRAINTS; CONSTRUCTION ACTIVITIES; DEMAND AND SUPPLY; DEVELOPMENT ASSESSMENTS; HOUSING AFFORDABILITY; HOUSING SUPPLY; KEY ELEMENTS; RESEARCH QUESTIONS; SUB-GROUPS; HOUSING</t>
  </si>
  <si>
    <t>Australas. Hous. Res. Conf.</t>
  </si>
  <si>
    <t>Tomal M.</t>
  </si>
  <si>
    <t>Tomal, Mateusz (57212028089)</t>
  </si>
  <si>
    <t>Moving towards a smarter housing market: The example of Poland</t>
  </si>
  <si>
    <t>SUSTAINABILITY (SWITZERLAND)</t>
  </si>
  <si>
    <t>10.3390/su12020683</t>
  </si>
  <si>
    <r>
      <rPr>
        <u/>
        <sz val="10"/>
        <color rgb="FF000000"/>
        <rFont val="Helvetica Neue"/>
      </rPr>
      <t>https://www.scopus.com/inward/record.uri?eid=2-s2.0-85079685660&amp;doi=10.3390%2fsu12020683&amp;partnerID=40&amp;md5=f6bf55d8f50554c087c57d7f5ef37aa3</t>
    </r>
  </si>
  <si>
    <t>Department of Real Estate and Investment Economics, Cracow University of Economics, Rakowicka 27, Cracow, 31-510, Poland</t>
  </si>
  <si>
    <t>Tomal M., Department of Real Estate and Investment Economics, Cracow University of Economics, Rakowicka 27, Cracow, 31-510, Poland</t>
  </si>
  <si>
    <t>Cities are currently undergoing vast changes, which have very significant implications for the functioning of the housing market. In particular, it should be stated that the traditional residential market, in imitation of the smart city concept, is becoming increasingly smarter. This smartness can be expressed in four dimensions: the "automatic" rental housing market; innovative digital platforms in the traditional housing market; innovative policies and housing models; and the ability to forecast demand on the housing market, which together form the so-called smart housing concept. On this basis, this study attempted to assess empirically the smartness of the residential markets in Polish provincial capitals. Firstly, after a thorough analysis of digital housing portals, official websites of Polish provincial capitals and public statistics data, the smart housing concept was operationalised in all its dimensions by defining appropriate indicators measuring its level in a given city. Then, using the zero unitarization and entropy weight methods, followed by a no-pattern synthetic measure, a comprehensive smart housing index was obtained for each city investigated. Research results showed that there is a large degree of variation in the level of smartness of the housing markets in the examined cities. Furthermore, the analysis also indicates that the economic dimension of the smart city concept and the co-working concept are the main driving forces behind the development of smart residential markets. In addition, the study reveals that the implementation of the smart housing concept has a positive impact on the quality of life of city inhabitants.</t>
  </si>
  <si>
    <t>Cities; Housing; Housing affordability; Housing availability; Housing market; Sharing economy; Smart city; Smart economy; Smart housing; Urban development</t>
  </si>
  <si>
    <t>POLAND [CENTRAL EUROPE]; AFFORDABLE HOUSING; ECONOMIC DEVELOPMENT; HOUSING; HOUSING MARKET; IMPLEMENTATION PROCESS; QUALITY OF LIFE; RESIDENTIAL DEVELOPMENT; SMART CITY; URBAN DEVELOPMENT</t>
  </si>
  <si>
    <t>MDPI</t>
  </si>
  <si>
    <t>Sustainability</t>
  </si>
  <si>
    <t>Khan A.A.; Yu R.; Liu T.; Gu N.; Walsh J.; Mohandes S.R.</t>
  </si>
  <si>
    <t>Khan, Ayaz Ahmad (57222623943); Yu, Rongrong (55430670400); Liu, Tingting (55727714000); Gu, Ning (55733322600); Walsh, James (55578002000); Mohandes, Saeed Reza (56703358000)</t>
  </si>
  <si>
    <t>Nudge or mandate: an exploration into the constraints of volumetric modular construction in Australia</t>
  </si>
  <si>
    <t>EC5</t>
  </si>
  <si>
    <t>SMART AND SUSTAINABLE BUILT ENVIRONMENT</t>
  </si>
  <si>
    <t>10.1108/SASBE-09-2023-0287</t>
  </si>
  <si>
    <r>
      <rPr>
        <u/>
        <sz val="10"/>
        <color rgb="FF000000"/>
        <rFont val="Helvetica Neue"/>
      </rPr>
      <t>https://www.scopus.com/inward/record.uri?eid=2-s2.0-85199291577&amp;doi=10.1108%2fSASBE-09-2023-0287&amp;partnerID=40&amp;md5=1657fb7cf7232dca88c9f6f8a64e87e2</t>
    </r>
  </si>
  <si>
    <t>UniSA Creative, University of South Australia, City West Campus, Adelaide, Australia; IVE: Australian Research Centre for Interactive and Virtual Environments, Mawson Lakes Campus, Adelaide, Australia; UniSA STEM, University of South Australia, Mawson Lakes Campus, Adelaide, Australia; School of Engineering and Built Environment, Griffith University, Gold Coast Campus, Australia; Department of Engineering Management, School of Engineering, The University of Manchester, Manchester, United Kingdom</t>
  </si>
  <si>
    <t>Khan A.A., UniSA Creative, University of South Australia, City West Campus, Adelaide, Australia, IVE: Australian Research Centre for Interactive and Virtual Environments, Mawson Lakes Campus, Adelaide, Australia; Yu R., UniSA Creative, University of South Australia, City West Campus, Adelaide, Australia, IVE: Australian Research Centre for Interactive and Virtual Environments, Mawson Lakes Campus, Adelaide, Australia; Liu T., School of Engineering and Built Environment, Griffith University, Gold Coast Campus, Australia; Gu N., UniSA Creative, University of South Australia, City West Campus, Adelaide, Australia, IVE: Australian Research Centre for Interactive and Virtual Environments, Mawson Lakes Campus, Adelaide, Australia; Walsh J., IVE: Australian Research Centre for Interactive and Virtual Environments, Mawson Lakes Campus, Adelaide, Australia, UniSA STEM, University of South Australia, Mawson Lakes Campus, Adelaide, Australia; Mohandes S.R., Department of Engineering Management, School of Engineering, The University of Manchester, Manchester, United Kingdom</t>
  </si>
  <si>
    <t>Purpose: To incentivize innovation, support competitiveness, lower skill scarcities, and alleviate the housing affordability difficulty, proponents underscore the pertinence of embracing contemporary construction methodologies, with particular emphasis on volumetric modular construction (VMC) as a sustainable paradigm for production and consumption. However, construction industry stakeholders in Australia have encountered profound challenges in adopting VMC, as its adoption remains significantly low. Therefore, this study investigated the constraints that hinder VMC in the Australian construction industry. Design/methodology/approach: The study used qualitative methodology using semi-structured interviews as a core approach to glean professional experts' perspectives and insights, along with Pareto and mean index score analyses. Findings: The study identified 77 reported and validated VMC constraints by professionals, categorizing them into eight categories: cultural, economic, knowledge, market, regulatory, stakeholder, supply chain, and technological. The mean index score analysis reveals stakeholder (µ = 9.67) constraints are the most significant, followed by cultural (µ = 9.62) and regulatory (µ = 9.11) constraints. Pareto analysis revealed 25 of the 77 constraints as ‘vital few” among different categories. This study presented causal relationships and mitigation strategies for VMC constraints, followed by an argument on whether VMC adoption in Australia requires a nudge or mandate. Practical implications: This study offers guidance for efficient resource allocation, aiding management and government policy formulation. It's also valuable for global audiences, especially countries transitioning to modular construction. Originality/value: This is one of the first studies to identify VMC constraints and delineate them into different categories in Australia, identify their causal interrelationships, and deliver countermeasures to overcome them. © 2024, Emerald Publishing Limited.</t>
  </si>
  <si>
    <t>Australia; Constraints; Mitigation strategies; Pareto analysis; Semi-structured interviews; Volumetric modular construction</t>
  </si>
  <si>
    <t>CONSTRUCTION INDUSTRY; SUPPLY CHAINS; AUSTRALIA; CONSTRAINT; CONSTRUCTION CONSTRAINTS; MEAN INDICES; MITIGATION STRATEGY; PARETO ANALYSIS; SCORE ANALYSIS; SEMI STRUCTURED INTERVIEWS; VOLUMETRIC MODULAR CONSTRUCTION; VOLUMETRICS; MODULAR CONSTRUCTION</t>
  </si>
  <si>
    <t>Smart Sustain. Built Environ.</t>
  </si>
  <si>
    <t>James A.; Rowley S.; Stone W.; Parkinson S.; Spinney A.; Reynolds M.</t>
  </si>
  <si>
    <t>James, Amity (56129373400); Rowley, Steven (7006249092); Stone, Wendy (14067850100); Parkinson, Sharon (55636879900); Spinney, Angela (55192471300); Reynolds, Margaret (7202326828)</t>
  </si>
  <si>
    <t>Older Australians and the housing aspirations gap</t>
  </si>
  <si>
    <t>10.18408/ahuri-8117301</t>
  </si>
  <si>
    <r>
      <rPr>
        <u/>
        <sz val="10"/>
        <color rgb="FF000000"/>
        <rFont val="Helvetica Neue"/>
      </rPr>
      <t>https://www.scopus.com/inward/record.uri?eid=2-s2.0-85071853650&amp;doi=10.18408%2fahuri-8117301&amp;partnerID=40&amp;md5=6f459826590427f36416bc78bd722e73</t>
    </r>
  </si>
  <si>
    <t>Curtin University, Australia; Swinburne University of Technology, Australia</t>
  </si>
  <si>
    <t>James A., Curtin University, Australia; Rowley S., Curtin University, Australia; Stone W., Swinburne University of Technology, Australia; Parkinson S., Swinburne University of Technology, Australia; Spinney A., Swinburne University of Technology, Australia; Reynolds M., Swinburne University of Technology, Australia</t>
  </si>
  <si>
    <t>This report examined the housing aspirations of older Australians, defined as households over the age of 55. The number of older Australians increased by almost 3 million between 2006 and 2016. The research collected data through a national Australian Housing Aspirations (AHA) survey, interviews and focus groups, supplemented with data from the Australian Bureau of Statistics (ABS). Older Australians aspire to live in a variety of different locations, with the most popular choices being the middle to outer suburbs of capital cities (around 35%) and small regional towns (around 20%). Generally, they would like to own a detached dwelling (69%) with three bedrooms (50%) although there is an appetite for two-bedroom apartments, particularly in the 75+ age group. Older Australians do not wish to be in the private rental market with 80 per cent demanding ownership. Aspirations are driven by a desire for long-term, stable housing. While the number of bedrooms, building quality and dwelling type are important, safety and security and having somewhere that feels like home are critical for older Australians. The short and longer-term housing aspirations gap (the difference between current and ideal housing) for later life Australians is not large with over 90 per cent of the 2,400 older Australians responding to the AHA survey stating their current housing meets their short-term housing aspirations, while 70 per cent reported current housing meets longer-term aspirations. There is unmet demand, or a housing aspiration gap, for dwellings in small regional towns, separate houses, two and three-bedroom dwellings and home ownership. The housing aspirations gap is larger for renters, private and social, than for home owners. Policy innovation could deliver the housing and housing assistance required to meet the diverse aspirations of later-life Australians through four key avenues: Housing assistance to develop alternative home ownership options to improve security of tenure and facilitate ageing in place. Continued reform of the private rental sector to deliver a long-term, secure housing option. Better matching of new housing supply to aspirations, especially in the private rental sector, to meet the demand for two and three-bedroom houses (including attached) located in high level amenity locations. Giving social housing tenants more agency and choice in the selection of their homes, including for those caring for grandchildren. A central housing information service providing information on how to plan as housing needs change in later life; dwelling development options, such as subdivision, to assist ageing in place and broader help on navigating different sectors of the housing market as household circumstances change. © Australian Housing and Urban Research Institute Limited 2019.</t>
  </si>
  <si>
    <t>Affordability</t>
  </si>
  <si>
    <t>Binder G.; Dalton T.</t>
  </si>
  <si>
    <t>Binder, G. (22984061000); Dalton, T. (18133299200)</t>
  </si>
  <si>
    <t>Organisational factors in the development and implementation of sustainable urban design: A preliminary assessment of innovation within a statutory urban land development agency</t>
  </si>
  <si>
    <t>WIT TRANSACTIONS ON ECOLOGY AND THE ENVIRONMENT</t>
  </si>
  <si>
    <t>10.2495/SDP070562</t>
  </si>
  <si>
    <r>
      <rPr>
        <u/>
        <sz val="10"/>
        <color rgb="FF000000"/>
        <rFont val="Helvetica Neue"/>
      </rPr>
      <t>https://www.scopus.com/inward/record.uri?eid=2-s2.0-36148963699&amp;doi=10.2495%2fSDP070562&amp;partnerID=40&amp;md5=75849379079d5979e4d2bcbf419f4607</t>
    </r>
  </si>
  <si>
    <t>AHURI/NATSEM Research Centre, RMIT University, Melbourne, Australia</t>
  </si>
  <si>
    <t>Binder G., AHURI/NATSEM Research Centre, RMIT University, Melbourne, Australia; Dalton T., AHURI/NATSEM Research Centre, RMIT University, Melbourne, Australia</t>
  </si>
  <si>
    <t>In Australia master-planned communities (MFC's) form a significant part of the outer suburban housing market. Recently developers have started to engage with the issue of Sustainable Urban Design (SUD). MFC's at the very least feature extensive on-site storm-water management. The Victorian State Government has developed an extensive urban planning policy for managing Melbourne's future growth that promotes sustainable urban design. The government statutory urban land development business, VicUrban, is charged with delivering this policy and is planning an 8000 home MFC, Aurora, which will feature extensive SUD principles. VicUrban is developing its Sustainability Charter to use in planning, implementing and evaluating its projects. The charter features a TBL framework as well as a focus on affordability and New Urbanism. The draft Sustainability Charter uses a scoring assessment framework for encouraging change. For example, points are awarded for desired features, like using materials with a low embodied energy, and penalties apply if items that have been discriminated against are used, for example using rainforest timbers. This paper starts to explore the organisational mechanisms that are being utilised by VicUrban to develop and implement SUD at Aurora. © 2007 WIT Press.</t>
  </si>
  <si>
    <t>Developers; Government business; Performance planning; Scoring assessment; Sustainability; Urban design</t>
  </si>
  <si>
    <t>AUSTRALASIA; AUSTRALIA; ENVIRONMENTAL ASSESSMENT; HOUSING; IMPLEMENTATION PROCESS; PLANNING PROCESS; PROJECT ASSESSMENT; RAINFOREST; URBAN DESIGN; URBAN DEVELOPMENT; URBAN POLICY</t>
  </si>
  <si>
    <t>WITPRESS</t>
  </si>
  <si>
    <t>WIT Trans. Ecol. Environ.</t>
  </si>
  <si>
    <t>Pinnegar S.; Wiesel I.; Liu E.; Gilmour T.; Loosemore M.; Judd B.</t>
  </si>
  <si>
    <t>Pinnegar, Simon (26028073300); Wiesel, Ilan (35085555100); Liu, Edgar (57923797000); Gilmour, Tony (41861368600); Loosemore, Martin (6701918491); Judd, Bruce (14052219400)</t>
  </si>
  <si>
    <t>Partnership working in the design and delivery of housing policy and programs</t>
  </si>
  <si>
    <r>
      <rPr>
        <u/>
        <sz val="10"/>
        <color rgb="FF000000"/>
        <rFont val="Helvetica Neue"/>
      </rPr>
      <t>https://www.scopus.com/inward/record.uri?eid=2-s2.0-84907692140&amp;partnerID=40&amp;md5=4357bb01581a0ab33aa414baf6991e2f</t>
    </r>
  </si>
  <si>
    <t>Australian Housing and Urban Research Institute, UNSW-UWS Research Centre, Australia</t>
  </si>
  <si>
    <t>Pinnegar S., Australian Housing and Urban Research Institute, UNSW-UWS Research Centre, Australia; Wiesel I., Australian Housing and Urban Research Institute, UNSW-UWS Research Centre, Australia; Liu E., Australian Housing and Urban Research Institute, UNSW-UWS Research Centre, Australia; Gilmour T., Australian Housing and Urban Research Institute, UNSW-UWS Research Centre, Australia; Loosemore M., Australian Housing and Urban Research Institute, UNSW-UWS Research Centre, Australia; Judd B., Australian Housing and Urban Research Institute, UNSW-UWS Research Centre, Australia</t>
  </si>
  <si>
    <t>The past decade has seen the emergence of partnership formations between government, private and not-for-profit sectors in the delivery of services and infrastructure in Australia. A diverse range of models and frameworks are being developed which encourage collaboration in long-term partnerships on the grounds of mutual benefit. Advocates point to improved efficiencies as government liabilities are taken off the balance sheet and risk/reward profiles are transferred. Collaboration provides a basis for innovation, skills transfer and transformation of traditional structures and frameworks for implementation. However, issues of governance, accountability, flexibility and ensuring community interests are best served ensure that policy's enrolment of partnership models is both challenging and contentious. Although partnership arrangements in the design and delivery of policy are longstanding, current interest in partnership working within housing and related urban programs is being shaped by a number of imperatives. In part, it represents a case of 'catch up' on the part of housing policy interests, particularly when compared with delivery models seen across other built environment and urban infrastructure fields in recent years. Second, insight and experience emerging from the early application of models such as Public-Private Partnerships (PPP) within housing-led urban renewal programs are also starting to come through, enabling initial lessons to be identified. Third, new policy directions, associated initiatives and expenditure have placed the need for partnership working and improved coordination centre stage, including the following: A commitment to partnership working underpins new directions within government, through both the operation of the Council of Australian Governments (COAG) and the National Affordable Housing Agreement (NAHA).Many housing reform directions-for example encouraging diversity and growth among community housing providers-encourage, and are in large part dependent upon, ensuring partnership working across public, private and non-profit sectors. Recent Commonwealth-initiated programs, notably the National Rental Affordability Scheme (NRAS) are also predicated on partnership working, drawing upon the distinct skills of each sector to establish models that can operate to mutual benefit. © 2011 Australian Housing and Urban Research Institute. All Rights Reserved.</t>
  </si>
  <si>
    <t>Delivery; Design; Housing; Partnership; Policy; Program</t>
  </si>
  <si>
    <t>Sharifi A.; Khavarian-Garmsir A.R.; Allam Z.; Asadzadeh A.</t>
  </si>
  <si>
    <t>Sharifi, Ayyoob; Khavarian-Garmsir, Amir Reza; Allam, Zaheer; Asadzadeh, Asad</t>
  </si>
  <si>
    <t>Progress and prospects in planning: A bibliometric review of literature in Urban Studies and Regional and Urban Planning, 1956-2022</t>
  </si>
  <si>
    <t>PROGRESS IN PLANNING</t>
  </si>
  <si>
    <t>10.1016/j.progress.2023.100740</t>
  </si>
  <si>
    <t>Hiroshima University; University of Isfahan; University of Bonn; Hiroshima University</t>
  </si>
  <si>
    <t>Sharifi A., Hiroshima Univ, IDEC Inst, Higashihiroshima and Network Educ &amp; Res Peace &amp; Sustainabil NERPS, Hiroshima, Japan; Khavarian-Garmsir A. R., Univ Isfahan, Fac Geog Sci &amp; Planning, Dept Geog &amp; Urban Planning, Esfahan, Iran; Allam Z., Univ Paris 1 Pantheon Sorbonne, IAE Paris Sorbonne Business Sch, Chaire Entrepreneuriat Terr Innovat ETI, Paris, France; Asadzadeh A., Univ Bonn, Inst Geodesy &amp; Geoinformat, Urban Planning &amp; Land Management Grp, Bonn, Germany</t>
  </si>
  <si>
    <t>The global population has rapidly urbanized over the past century, and the urbanization rate is projected to reach about 70% by 2050. In line with these trends and the increasing recognition of the significance of cities in addressing local and global challenges, a lot of research has been published on urban studies and planning since the middle of the twentieth century. While the number of publications has been rapidly increasing over the past decades, there is still a lack of studies analyzing the field's knowledge structure and its evolution. To fill this gap, this study analyzes data related to more than 100,000 articles indexed under the Urban Studies and Regional &amp; Urban Planning subject categories of the Web of Science. We conduct various analyses such as term cooccurrence, co-citation, bibliographic coupling, and citation analysis to identify the key defining thematic areas of the field and examine how they have evolved. We also identify key authors, journals, references, and organizations that have contributed more to the field's development. The analysis is conducted over five periods: 1956-1975 (the genesis period), 1976-1995 (economic growth and environmentalism), 1996-2015 (sustainable development and technological innovation), 2016-2019 (climate change and SDGs), and 2020 onwards (postCOVID urbanism). Four major thematic areas are identified: 1) socio-economic issues and inequalities, 2) economic growth and innovation, 3) urban ecology and land use planning, and 4) urban policy and governance and sustainability. The first two are recurring themes over different periods, while the latter two have gained currency over the past 2-3 decades following global events and policy frameworks related to global challenges like sustainability and climate change. Following the COVID-19 pandemic, issues related to smart cities, big data analytics, urban resilience, and governance have received particular attention. We found disproportionate contributions to the field from the Global North. Some countries from the Global South with rapid urbanization rates are underrepresented, which may have implications for the future of urbanization. We conclude the study by highlighting thematic gaps and other critical issues that need to be addressed by urban scholars to accelerate the transition toward sustainable and resilient cities.</t>
  </si>
  <si>
    <t>Urban Studies; Urban Planning; Urban resilience; Climate change; Urban sustainability; Smart cities</t>
  </si>
  <si>
    <t>SUSTAINABLE DEVELOPMENT GOALS; RESEARCH-AND-DEVELOPMENT; LAND-USE; GREEN INFRASTRUCTURE; ECOSYSTEM SERVICES; CLIMATE ADAPTATION; ECONOMIC-GROWTH; PUBLIC-HEALTH; SMART CITIES; HOUSING AFFORDABILITY</t>
  </si>
  <si>
    <t>Prog. Plan.</t>
  </si>
  <si>
    <t>Han H.; Kim S.; Jin M.Y.; Pettit C.</t>
  </si>
  <si>
    <t>Han, Hoon (57218644296); Kim, Sumin (56364735800); Jin, Mee Youn (36490011400); Pettit, Chris (7003759636)</t>
  </si>
  <si>
    <t>Providing affordable housing through urban renewal projects in Australia: Expert opinions on barriers and opportunities</t>
  </si>
  <si>
    <t>10.14246/IRSPSD.9.2_41</t>
  </si>
  <si>
    <r>
      <rPr>
        <u/>
        <sz val="10"/>
        <color rgb="FF000000"/>
        <rFont val="Helvetica Neue"/>
      </rPr>
      <t>https://www.scopus.com/inward/record.uri?eid=2-s2.0-85106559272&amp;doi=10.14246%2fIRSPSD.9.2_41&amp;partnerID=40&amp;md5=fce1f16a1684e09f7a5e1aeaa97d1666</t>
    </r>
  </si>
  <si>
    <t>University of New South Wales, Faculty of Built Environment, Australia; UniSA Business, University of South Australia, Australia; Land and Housing Institute, Korea Land and Housing Corporation, South Korea</t>
  </si>
  <si>
    <t>Han H., University of New South Wales, Faculty of Built Environment, Australia; Kim S., UniSA Business, University of South Australia, Australia; Jin M.Y., Land and Housing Institute, Korea Land and Housing Corporation, South Korea; Pettit C., University of New South Wales, Faculty of Built Environment, Australia</t>
  </si>
  <si>
    <t>This paper examined the impact of providing affordable rental housing through inner-city urban renewal projects in Australia. Providing affordable rental housing for lower-income households remains a challenge for planners, builders, policymakers and residents alike. Government intervention for inclusionary zoning in Australia has enhanced affordable housing supply but has also generated negative impacts such as NIMBY-ism, decreasing house price and urban sprawl. This study conducted in-depth interviews with housing and planning experts in affordable housing projects in Australia and evaluated the barriers and opportunities of providing affordable rental housing as stand-alone projects, or as part of urban renewal projects. This study found several existing challenges such as limited longevity of related policies and limited financing sources for renewal projects. The findings inform policymakers that the existing housing affordability issue can be tackled by adopting more innovative approaches such as negative gearing. Copyright@SPSD Press from 2010, SPSD Press, Kanazawa</t>
  </si>
  <si>
    <t>Affordable housing; Inclusionary zoning; NIMBY; Urban renewal</t>
  </si>
  <si>
    <t>AUSTRALIA; AFFORDABLE HOUSING; EXPERT SYSTEM; NOT IN MY BACK YARD RESPONSE; RENTAL SECTOR; URBAN RENEWAL; ZONING SYSTEM</t>
  </si>
  <si>
    <t>Kleit R.G.; Airgood-Obrycki W.; Yerena A.</t>
  </si>
  <si>
    <t>Kleit, Rachel Garshick; Airgood-Obrycki, Whitney; Yerena, Anaid</t>
  </si>
  <si>
    <t>Public Housing Authorities in the Private Market</t>
  </si>
  <si>
    <t>HOUSING POLICY DEBATE</t>
  </si>
  <si>
    <t>10.1080/10511482.2019.1582548</t>
  </si>
  <si>
    <t>University System of Ohio; Ohio State University; Harvard University; University of Washington; University of Washington Tacoma</t>
  </si>
  <si>
    <t>Kleit R. G., Ohio State Univ, Knowlton Sch Architecture, City &amp; Reg Planning, Columbus, OH 43210 USA; Airgood-Obrycki W., Harvard Univ, Joint Ctr Housing Studies, Cambridge, MA 02138 USA; Yerena A., Univ Washington, Urban Studies, Tacoma, WA USA</t>
  </si>
  <si>
    <t>Decreasing federal resources since the 1980s, policy devolution to the local level, and expansion of market-based approaches for affordable housing delivery have resulted in public housing authorities (PHAs) evolving from public organizations to hybrid organizations that encompass public and private characteristics. Although federal rules guide their implementation of U.S. Department of Housing and Development (HUD) programs, PHAs are created locally under state authorizing legislation. Under what conditions do PHAs create new affordable housing using their ability to employ both public and private means of service delivery? Although PHAs have the ability to create new units outside the traditional assisted stock, no clear estimate of the number of units created using these newer means exists, or even a count of how many PHAs are engaging in such activities. Descriptive analysis allows for estimates of this basic information. A multivariate analysis using data from a national survey of PHAs, content analysis of state enabling legislation, and publicly available data sets suggests that whereas the local market context partially predicts affordable housing ownership outside of the public housing program, state enabling legislation and local institutional relationships also facilitate housing production. We estimate that in 2013, PHAs owned more than 150,000 units outside of the traditional HUD-assisted housing stock.</t>
  </si>
  <si>
    <t>low-income housing; rental housing; affordability; hybrid organizations; public housing authorities; affordable housing development</t>
  </si>
  <si>
    <t>STATE; INNOVATION; HYBRIDITY; NETWORKS</t>
  </si>
  <si>
    <t>Hous. Policy Debate</t>
  </si>
  <si>
    <t>Fukuzawa D.D.; Karnas F.</t>
  </si>
  <si>
    <t>Fukuzawa, David D. (57224282435); Karnas, Fred (20436295700)</t>
  </si>
  <si>
    <t>Reconnecting health and housing: Philanthropy's new opportunity</t>
  </si>
  <si>
    <t>ENVIRONMENTAL JUSTICE</t>
  </si>
  <si>
    <t>10.1089/env.2015.0006</t>
  </si>
  <si>
    <r>
      <rPr>
        <u/>
        <sz val="10"/>
        <color rgb="FF000000"/>
        <rFont val="Helvetica Neue"/>
      </rPr>
      <t>https://www.scopus.com/inward/record.uri?eid=2-s2.0-84932120792&amp;doi=10.1089%2fenv.2015.0006&amp;partnerID=40&amp;md5=95a8683e51a8abfe926a870ae6b821d4</t>
    </r>
  </si>
  <si>
    <t>Kresge Foundation's Health Program, 3215 W. Big Beaver Rd., Troy, 48084, MI, United States</t>
  </si>
  <si>
    <t>Fukuzawa D.D., Kresge Foundation's Health Program, 3215 W. Big Beaver Rd., Troy, 48084, MI, United States; Karnas F., Kresge Foundation's Health Program, 3215 W. Big Beaver Rd., Troy, 48084, MI, United States</t>
  </si>
  <si>
    <t>The connection between health and housing was widely understood by nineteenth century social reformers and philanthropists and was the dominant framework for low-income housing until the early twentieth century. The Affordable Care Act has not only set in motion reform in the nation's health care system, but also opens up new opportunities for re-connecting the housing and health sectors. While housing affordability will remain the central challenge for low- and middle-income people, the strong evidence of how housing quality and affordability impacts health calls for a new framework that envisions housing as a platform for improving quality of life. This platform can be conceived as a multi-layered: as service delivery portal, as target for prevention, and as anchor for healthy neighborhoods. These layers are associated with different at-risk populations and different strategies for financing and policy action. Philanthropy can play a key role in re-connecting the sectors through its capacity to build the evidence base, change the discourse about housing, foster policy change, and promote innovation. © Mary Ann Liebert, Inc. 2015.</t>
  </si>
  <si>
    <t>HEALTH CARE; HOSPITAL SECTOR; HOUSING POLICY; HOUSING REFORM; INNOVATION; LOW INCOME POPULATION; NEIGHBORHOOD; NINETEENTH CENTURY; POLICY MAKING; POPULATION STRUCTURE; QUALITY OF LIFE; TWENTIETH CENTURY; WELFARE REFORM</t>
  </si>
  <si>
    <t>MARY ANN LIEBERT INC.</t>
  </si>
  <si>
    <t>Environ. Justice</t>
  </si>
  <si>
    <t>Enker R.A.</t>
  </si>
  <si>
    <t>Enker, Robert A.</t>
  </si>
  <si>
    <t>Reforming housing regulation: delivering performance improvement together with affordability</t>
  </si>
  <si>
    <t>LIVING AND LEARNING: RESEARCH FOR A BETTER BUILT ENVIRONMENT</t>
  </si>
  <si>
    <t>Curtin University</t>
  </si>
  <si>
    <t>Enker R. A., Curtin Univ, Perth, WA, Australia</t>
  </si>
  <si>
    <t>In developed economies a significant proportion of greenhouse gas emissions result from energy demand in the building sector. Many countries have recognized the need to mandate building energy performance standards as a key element of a national energy or climate change policy. The Commonwealth of Australia included energy efficiency provisions in the national Building Code early last decade. This initiative has not been without controversy or resistance from some industry stakeholders. Typically such opposition is predicated on the assertion that more stringent energy efficiency requirements, particularly in the residential sector, would detrimentally impact on housing affordability. The State of Victoria significantly upgraded its residential energy efficiency requirements in 2004. This study of the new standard [the 5-Star Standard] investigates its effectiveness as an instrument of energy policy, testing the assumption that more stringent regulatory requirements are at odds with housing affordability, used here in its commonly understood form of initial capital cost. The analysis concludes that the 5-Star Standard has delivered significant greenhouse abatement; and encouraged industry innovation in a way that embodies regulatory best practice; while at the same time not compromising housing affordability for consumers or impacting negatively on the local housing market overall.</t>
  </si>
  <si>
    <t>Regulation; energy; housing; affordability</t>
  </si>
  <si>
    <t>ENERGY EFFICIENCY</t>
  </si>
  <si>
    <t>UNIV MELBOURNE</t>
  </si>
  <si>
    <t>Balta-Ozkan N.; Yildirim J.; Connor P.M.</t>
  </si>
  <si>
    <t>Balta-Ozkan, Nazmiye; Yildirim, Julide; Connor, Peter M.</t>
  </si>
  <si>
    <t>Regional distribution of photovoltaic deployment in the UK and its determinants: A spatial econometric approach</t>
  </si>
  <si>
    <t>EC5; EC6</t>
  </si>
  <si>
    <t>ENERGY ECONOMICS</t>
  </si>
  <si>
    <t>10.1016/j.eneco.2015.08.003</t>
  </si>
  <si>
    <t>Cranfield University; Ted University; University of Exeter</t>
  </si>
  <si>
    <t>Balta-Ozkan N., Cranfield Univ, Sch Energy Environm &amp; Agrifood, Cranfield MK43 0AL, Beds, England; Yildirim J., TED Univ, Dept Econ, TR-06420 Ankara, Turkey; Connor P. M., Univ Exeter, Penryn TR10 9EZ, Cornwall, England.</t>
  </si>
  <si>
    <t>Photovoltaic (PV) panels offer significant potential for contributing to the UK's energy policy goals relating to decarbonisation of the energy system, security of supply and affordability. The substantive drop in the cost of panels since 2007, coupled with the introduction of the Feed-in Tariff (FiT) Scheme in 2010, has resulted in a rapid increase in installation of PV panels in the UK, from 26.5MWp in 2009 to over 5GW by the end of 2014. Yet there has been no comprehensive analysis of the determinants of PV deployment in the UK. This paper addresses this gap by employing spatial econometrics methods to a recently available data set at a fine geographical detail. Following a traditional regression analysis, a general to specific approach has been adopted where spatial variations in the relationships have been examined utilising the spatial Durbin model using the cross-sectional data relating to the UK NUTS level 3 data. Empirical results indicate that demand for electricity, population density, pollution levels, education level of households and housing types are among the factors that affect PV uptake in a region. Moreover Lagrange Multiplier test results indicate that the spatial Durbin model may be properly applied to describe the PV uptake relationship in the UK as there are significant regional spillover effects. (C) 2015 The Authors. Published by Elsevier B.V. This is an open access article under the CC BY license (http://creativecommons.org/licenses/by/4.0/).</t>
  </si>
  <si>
    <t>Photovoltaic; PV; Spatial spillover; FIT; Spatial econometrics; Spatial energy</t>
  </si>
  <si>
    <t>FEED-IN TARIFF; SOLAR ELECTRICITY; UNITED-KINGDOM; DIFFUSION; GENERATION; SYSTEMS; MODEL; INNOVATIONS; ACCEPTANCE; OBLIGATION</t>
  </si>
  <si>
    <t>ELSEVIER</t>
  </si>
  <si>
    <t>Energy Econ.</t>
  </si>
  <si>
    <t>Moore T.</t>
  </si>
  <si>
    <t>Moore, Tom (35280093700)</t>
  </si>
  <si>
    <t>Replication through partnership: the evolution of partnerships between community land trusts and housing associations in England</t>
  </si>
  <si>
    <t>10.1080/14616718.2016.1198084</t>
  </si>
  <si>
    <r>
      <rPr>
        <u/>
        <sz val="10"/>
        <color rgb="FF000000"/>
        <rFont val="Helvetica Neue"/>
      </rPr>
      <t>https://www.scopus.com/inward/record.uri?eid=2-s2.0-84979067085&amp;doi=10.1080%2f14616718.2016.1198084&amp;partnerID=40&amp;md5=1e8677bc4d3cf374158ab5111087ad2a</t>
    </r>
  </si>
  <si>
    <t>Urban Institute, University of Sheffield, Sheffield, United Kingdom</t>
  </si>
  <si>
    <t>Moore T., Urban Institute, University of Sheffield, Sheffield, United Kingdom</t>
  </si>
  <si>
    <t>Community land trusts (CLTs) have emerged as an innovative way of addressing the affordable housing crisis in England, as they seek to control and own housing to ensure lasting affordability and to democratically manage assets through voluntarism and community ownership structures. However, there can be difficulties that impede their progress, including legitimacy as new forms of housing organisation, access to finance, and voluntary capacity. CLTs have increasingly begun to partner with housing associations to overcome these issues, combining community leadership with professional expertise and experience. While partnerships may be critiqued for standardising community initiatives or for marrying contrasting institutional logics, housing association support has led directly to the growth of the CLT sector and created new frameworks in which communities can pursue local goals. This paper reports on empirical research into the constitution and effectiveness of partnerships, and considers their implications for future community-led housing development. © 2016 Informa UK Limited, trading as Taylor &amp; Francis Group.</t>
  </si>
  <si>
    <t>community assets; community-led housing; localism; self-help; third sector</t>
  </si>
  <si>
    <t>ENGLAND; UNITED KINGDOM; AFFORDABLE HOUSING; HOUSING POLICY; ORGANIZATION; RESIDENTIAL DEVELOPMENT; THIRD SECTOR</t>
  </si>
  <si>
    <t>Guo Z.</t>
  </si>
  <si>
    <t>Guo, Zhan</t>
  </si>
  <si>
    <t>Residential Street Parking and Car Ownership: A Study of Households With Off-Street Parking in the New York City Region</t>
  </si>
  <si>
    <t>JOURNAL OF THE AMERICAN PLANNING ASSOCIATION</t>
  </si>
  <si>
    <t>10.1080/01944363.2013.790100</t>
  </si>
  <si>
    <t>New York University</t>
  </si>
  <si>
    <t>Guo Z., NYU, Wagner Grad Sch Publ Serv, New York, NY 10003 USA</t>
  </si>
  <si>
    <t>Problem, research strategy, and findings: Local governments' minimum street-width standards may force developers to oversupply, and residents to pay excessively for, on-street parking in residential neighborhoods. Such oversupply is often presumed to both encourage car ownership and reduce housing affordability, although little useful evidence exists either way. This article examines the impact of street-parking supply on the car ownership of households with off-street parking in the New York City area. The off- and on-street parking supply for each household was measured through Google Street View and Bing Maps. The impact of on-street parking on car ownership levels was then estimated in an innovative multivariate model. The unique set-up of the case study ensures 1) the weak endogeneity between parking supply and car ownership and 2) the low correlation between off-street and on-street parking supply, two major methodological challenges of the study. Results show that free residential street parking increases private car ownership by nearly 9%; that is, the availability of free street parking explains 1 out of 11 cars owned by households with off-street parking. Takeaway for practice: These results offer support for community street standards that make on-street parking supply optional. They also suggest the merits of leaving the decisions of whether, and how many, on-street parking spaces to provide in new residential developments to private markets rather than regulations. Research support: This project was supported by grants from the University Transportation Research Center (Region 2) and the Wagner School Faculty Research Fund.</t>
  </si>
  <si>
    <t>street standards; on-street parking; car ownership; Google Street View; New York City</t>
  </si>
  <si>
    <t>AUTOMOBILE OWNERSHIP; LAND-USE; REQUIREMENTS; NEIGHBORHOOD; PATTERNS; POLICY; TRAVEL</t>
  </si>
  <si>
    <t>J. Am. Plan. Assoc.</t>
  </si>
  <si>
    <t>Zhang L.; Zhao S.X.B.; Tian J.P.</t>
  </si>
  <si>
    <t>Zhang, L. (59544913600); Zhao, Simon X.B. (55308753200); Tian, J.P. (36983682000)</t>
  </si>
  <si>
    <t>Self-help in housing and chengzhongcun in China's urbanization</t>
  </si>
  <si>
    <t>INTERNATIONAL JOURNAL OF URBAN AND REGIONAL RESEARCH</t>
  </si>
  <si>
    <t>10.1111/j.0309-1317.2003.00491.x</t>
  </si>
  <si>
    <r>
      <rPr>
        <u/>
        <sz val="10"/>
        <color rgb="FF000000"/>
        <rFont val="Helvetica Neue"/>
      </rPr>
      <t>https://www.scopus.com/inward/record.uri?eid=2-s2.0-0348159857&amp;doi=10.1111%2fj.0309-1317.2003.00491.x&amp;partnerID=40&amp;md5=cc563bbdb022a94cecefa2787b88164d</t>
    </r>
  </si>
  <si>
    <t>Dept. of Geography/Resource Mgmt., The Chinese University of Hong Kong, Hong Kong, Hong Kong; Department of Geography, The University of Hong Hong, Hong Kong, Hong Kong; Center for Urban/Regional Studies, Zhongshan University, Guangzhou, China</t>
  </si>
  <si>
    <t>Zhang L., Dept. of Geography/Resource Mgmt., The Chinese University of Hong Kong, Hong Kong, Hong Kong; Zhao S.X.B., Department of Geography, The University of Hong Hong, Hong Kong, Hong Kong; Tian J.P., Center for Urban/Regional Studies, Zhongshan University, Guangzhou, China</t>
  </si>
  <si>
    <t>This article focuses on the housing issues of rural migrants arising from urbanization, with particular reference to chengzhongcun, a topic with considerable impact on policy-making. An attempt is made to understand the underlying rationale of self-help in housing and the important role of chengzhongcun in sheltering rural migrants in the context of China's rural-urban dichotomy. As demonstrated in this study, chengzhongcun accommodate, with little in the way of government resources and assistance, millions of rural migrants because of their social accessibility and affordability. While not denying their social problems, we argue that chengzhongcun in fact act as an innovative and positive agent to promote urbanization in present day China by housing massive numbers of rural migrants and assimilating them into cities. Current government policies towards chengzhongcun have generated a wide range of interest conflicts and confrontations. The consequences of such conflicts show that the government policies were problematic and unworkable, as they violated basic market principles as well as citizen rights. Policy strategy towards the redevelopment of chengzhongcun must acknowledge their credibility in the Chinese road to urbanization and requires more thoughtful and prudent consideration of migrants' demands for affordable housing.</t>
  </si>
  <si>
    <t>CHINA; AFFORDABLE HOUSING; HOUSING POLICY; HOUSING PROVISION; RURAL-URBAN MIGRATION; SELF HELP; URBAN POLICY; URBANIZATION</t>
  </si>
  <si>
    <t>BLACKWELL PUBLISHING LTD</t>
  </si>
  <si>
    <t>Int. J. Urban Reg. Res.</t>
  </si>
  <si>
    <t>Jones A.; Howe A.; Tilse C.; Bartlett H.; Stimson B.</t>
  </si>
  <si>
    <t>Jones, Andrew (57213879896); Howe, Anna (7102560212); Tilse, Cheryl (6506880902); Bartlett, Helen (7005797749); Stimson, Bob (56388708000)</t>
  </si>
  <si>
    <t>Service integrated housing for Australians in later life</t>
  </si>
  <si>
    <r>
      <rPr>
        <u/>
        <sz val="10"/>
        <color rgb="FF000000"/>
        <rFont val="Helvetica Neue"/>
      </rPr>
      <t>https://www.scopus.com/inward/record.uri?eid=2-s2.0-84908072525&amp;partnerID=40&amp;md5=f32b726153e5e1d3da0658637bcfc577</t>
    </r>
  </si>
  <si>
    <t>University of Queensland, Australia; Monash University, Australia</t>
  </si>
  <si>
    <t>Jones A., University of Queensland, Australia; Howe A.; Tilse C., University of Queensland, Australia; Bartlett H., Monash University, Australia; Stimson B., University of Queensland, Australia</t>
  </si>
  <si>
    <t>The aim of the study is to analyse the diversity and types of service integrated housing that have been developed in Australia, and to consider the policy and research implications. It is particularly concerned to examine the implications of international experience with service integrated housing for Australia. The term ‘service integrated housing’refers to all forms of housing for people in later life where the housing provider deliberately makes available or arranges for one or more types of support and care, in conjunction with the housing provision. In broad terms, interest in this form of housing provision derives from the anticipated ageing of the Australian population in the early decades of the twenty-first century (ABS, 2003), and the impacts of disability and frailty on the capacity of many individuals and households to manage the tasks of daily life in the domestic housing environment (Howe, 1992, p. 87). Fewer than one in five of those aged 65 and over who have a limitation in activities of daily living are living in residential aged care homes, and only one in three of those with severe or profound limitations (Howe, 2008, p. 16). While the majority of those in need of assistance live in the general community with care from formal services and/or family or other informal carers, a proportion live in a range of purpose-built housing for older people that also provides varying levels of support and care services. No systematic information is however available on these forms of housing and the services they provide, but there is increasing recognition that as the period of later life for many Australians lengthens, and as the overall number of older Australians grows, greater consideration needs to be given to the range of housing and care choices available to older Australians.</t>
  </si>
  <si>
    <t>Australian; Housing; Integrated; Later life; Service</t>
  </si>
  <si>
    <t>Wiesel I.; Bullen J.; Fisher K.R.; Winkler D.; Reynolds A.</t>
  </si>
  <si>
    <t>Wiesel, Ilan (35085555100); Bullen, Jane (56454078700); Fisher, Karen R. (23967865300); Winkler, Di (10044902400); Reynolds, Astrid (57210566206)</t>
  </si>
  <si>
    <t>Shared home ownership by people with disability</t>
  </si>
  <si>
    <t>10.18408/ahuri-7104001</t>
  </si>
  <si>
    <r>
      <rPr>
        <u/>
        <sz val="10"/>
        <color rgb="FF000000"/>
        <rFont val="Helvetica Neue"/>
      </rPr>
      <t>https://www.scopus.com/inward/record.uri?eid=2-s2.0-85070938014&amp;doi=10.18408%2fahuri-7104001&amp;partnerID=40&amp;md5=89e02f68b1853d9be879d679abe290cd</t>
    </r>
  </si>
  <si>
    <t>University of Melbourne, Australia; University of New South Wales, Australia; Summer Foundation, Australia</t>
  </si>
  <si>
    <t>Wiesel I., University of Melbourne, Australia, University of New South Wales, Australia; Bullen J., University of New South Wales, Australia; Fisher K.R., University of New South Wales, Australia; Winkler D., Summer Foundation, Australia; Reynolds A., Summer Foundation, Australia</t>
  </si>
  <si>
    <t>Risks and benefits of shared ownership 'Shared ownership' is used in this report as an umbrella term for a range of housing models where ownership of a dwelling is divided between a person who lives in the house and a 'non-person' equity partner. Shared ownership models enable consumers to access and sustain home ownership, even though they have lower income and savings than those that are typically required to afford a loan deposit and repayments. Shared ownership - including shared equity and mixed equity models - is considered to be one of several housing policy options that can help address unmet need in affordable housing and barriers in entry to home ownership for people with disability. The report considers the potential for expansion of shared ownership in Australia, and the particular models that would be most appropriate and beneficial for people with disability. It draws on a review of existing grey and scholarly literature, as well as interviews with housing providers and disability advocacy groups, most selected across five case studies of shared ownership programs in Australia. Shared ownership has several potential benefits. It can enhance housing choice, security of tenure and sense of ownership. In addition, capital investment by people with disability and their families into shared ownership is expected to reduce the overall cost of housing assistance required by government to overcome the supply gap. At the same time, some models of shared ownership can expose people to the risks of debt in a volatile housing market, and could potentially add to inflationary pressures in an already heated housing market in some Australian cities. Shared ownership models are still considered complex products not well understood by consumers, lenders and policy-makers. Shared ownership by people with disability Existing literature on shared ownership in Australia and elsewhere offers little information about the benefits and risks of such models for people with disability. Many people with disability experience circumstances that could affect their capacity to enter, sustain and benefit from shared ownership, including: •low income and other barriers to finance home purchase (e.g. legal capacity for people with cognitive disability) •willingness and capacity of families of some people with disability to assist with the capital investment necessary to enter shared ownership •requirements for accessible housing design •availability, or lack thereof, of disability support services •restricted access to National Disability Insurance Scheme (NDIS) funding for Specialist Disability Accommodation (SDA) or home modifications in mainstream housing. Shared ownership models for people with disability Recent house price growth - especially in Sydney and Melbourne - has seen home ownership slipping even further away from reach for low- and moderate-income households, including people with disability. This highlights the urgent need for new forms of housing assistance. At the same time, current market conditions potentially undermine the viability of shared ownership in many parts of the eastern states, unless the increased property price is fully absorbed by government or equity partners rather than shared owners. Nevertheless, within appropriate policy settings, a number of specific cohorts of people with disability could still potentially benefit from shared ownership. The report highlights four generalised shared ownership models that could potentially be scaled-up to address distinctive policy objectives and target groups. •A shared equity model targeting people with disability with moderate household incomes, who can afford the combined ongoing costs of mortgage repayments and property ownership outgoings. Such schemes could be appropriate for people with disability with secure moderate incomes currently residing in the private and social rental sectors. The aim of such schemes would be to assist transition from insecure private rental to full or part home ownership and to vacate social housing tenancies for higher need applicants. Compared to other shared ownership models, shared equity exposes shared owners to higher levels of risk, and therefore requires careful targeting and risk mitigation strategies. •A restricted-resale shared equity model, similar to the one described above, but with restrictions on the price and conditions of resale to ensure retention of affordability for future generations of shared owners, as well as social inclusion outcomes for people with disability where such models also involve community development objectives (at the expense of more limited prospects of staircasing1 into full ownership). •An individual mixed equity model, where shared owners make a capital contribution for the purchase of a property, but are not named on title and reside in the dwellings under lease conditions that resemble those in social housing. Such a model would target people with disability with low income but moderate assets, including their own savings and funds gifted by family members. The individual mixed equity model combines the advantages of social housing with those of home ownership: affordability, choice, security of tenure and sense of ownership. •A group mixed equity model, where relatively small equity contributions from several co-residents are combined with public funding. Group housing models can be problematic for people with disability, regardless of equity mixing or sharing, and new group mixed equity models would require innovations to ensure choice and control for shared owners (e.g. choosing their co-residents; control over their privacy and space; clear rules and pathways for shared owners leaving or joining). All four models could potentially be applied to SDA funded in part by the NDIS. However, SDA funds would need to be structured accordingly, either as direct payments to shared owners in shared equity models (to enable borrowing for their share), or as payments to equity partners for mixed equity models, where co-owners are not expected to carry any debt. Ways forward Prospective shared owners are often not eligible for other forms of housing assistance. This means that shared ownership programs increase the pool of recipients of housing assistance, thus potentially increasing its cost or reducing its effectiveness. To justify public investment in shared ownership models, government and the not-for-profit sector would need a more comprehensive housing policy framework that specifies the discrete role of different housing assistance products within the so-called 'housing continuum'. In addition to substantial public funding to be invested in shared ownership schemes, a range of other policy interventions would be needed if shared ownership by people with disability were to be scaled up in Australia. •Establish government-backed agencies, similar to Keystart (Western Australia) and HomeStart (South Australia), in other states and territories (particularly Victoria and New South Wales), to offer affordable and inclusive finance. Review and clarify shared owners' eligibility for Commonwealth Rent Assistance (CRA), the First Home Owner Grant and NDIS SDA funds to ensure consistency and predictability. •Review stamp duty, Special Disability Trust and pension eligibility rules to identify and remove potential barriers to unlocking housing wealth and gifting of funds by families of people with disability. •Fund independent advocacy and asset/financial planning for people with disability and their families. © Australian Housing and Urban Research Institute Limited 2017.</t>
  </si>
  <si>
    <t>Home ownership; National Disability Insurance Scheme; People with disability; Shared equity; Shared ownership</t>
  </si>
  <si>
    <t>Ma S.; Ren F.; Wan F.</t>
  </si>
  <si>
    <t>Ma, Sijia (57215897446); Ren, Fei (55430933800); Wan, Fei (57197873276)</t>
  </si>
  <si>
    <t>Sharing benefits? The disparate impact of home-sharing platform on industrial and social development</t>
  </si>
  <si>
    <t>ELECTRONIC COMMERCE RESEARCH AND APPLICATIONS</t>
  </si>
  <si>
    <t>10.1016/j.elerap.2022.101152</t>
  </si>
  <si>
    <r>
      <rPr>
        <u/>
        <sz val="10"/>
        <color rgb="FF000000"/>
        <rFont val="Helvetica Neue"/>
      </rPr>
      <t>https://www.scopus.com/inward/record.uri?eid=2-s2.0-85129709703&amp;doi=10.1016%2fj.elerap.2022.101152&amp;partnerID=40&amp;md5=23aed9f5bf7ec66f0291c145e6f46413</t>
    </r>
  </si>
  <si>
    <t>Department of Management, Tilburg University, Tilburg, 5000LE, Netherlands; Guanghua School of Management, Peking University, Beijing, 100871, China; School of Business and Management, Shanghai International Studies University, Shanghai, 201620, China</t>
  </si>
  <si>
    <t>Ma S., Department of Management, Tilburg University, Tilburg, 5000LE, Netherlands, Guanghua School of Management, Peking University, Beijing, 100871, China; Ren F., Guanghua School of Management, Peking University, Beijing, 100871, China; Wan F., School of Business and Management, Shanghai International Studies University, Shanghai, 201620, China</t>
  </si>
  <si>
    <t>The home-sharing business brings significant societal transformation through digitization and crowdsourcing business models. However, with the rising concern of the digital divide and inequality, it is uncertain whether areas with different Internet access and economic status encounter comparable impacts. We investigate the mixed effect of the home-sharing business on the industrial and social development of urban and rural areas with a unique dataset and staggered difference-in-differences estimations. Our empirical results suggest that the home-sharing business potentially alleviates the inequality between urban and rural areas regarding the tourism and real estate industries, with more favorable influences for the tourism revenue and housing affordability in rural areas. However, it temporarily increases the inequality in social benefits by increasing the household income of the urban population. These intricate findings provide managerial and policy insights for the home-sharing business's balanced impact and sustainable growth in urban and rural areas. © 2022 Elsevier B.V.</t>
  </si>
  <si>
    <t>Difference-in-differences; Digital divide; Home-sharing platform; Industrial development; Inequality; Sharing economy; Social development</t>
  </si>
  <si>
    <t>INDUSTRIAL ECONOMICS; RURAL AREAS; URBAN GROWTH; DIFFERENCE-IN-DIFFERENCES; DIFFERENCES-IN-DIFFERENCES; DIGITAL DIVIDE; HOME-SHARING PLATFORM; INDUSTRIAL DEVELOPMENT; INEQUALITY; SHARING ECONOMY; SHARING PLATFORMS; SOCIAL DEVELOPMENT; URBAN AND RURAL AREAS; ECONOMIC AND SOCIAL EFFECTS</t>
  </si>
  <si>
    <t>Elect. Commer. Res. Appl.</t>
  </si>
  <si>
    <t>Mitlin D.</t>
  </si>
  <si>
    <t>Mitlin, Diana (7003660920)</t>
  </si>
  <si>
    <t>Shelter finance in the age of neo-liberalism</t>
  </si>
  <si>
    <t>URBAN STUDIES</t>
  </si>
  <si>
    <t>10.1177/0042098010375325</t>
  </si>
  <si>
    <r>
      <rPr>
        <u/>
        <sz val="10"/>
        <color rgb="FF000000"/>
        <rFont val="Helvetica Neue"/>
      </rPr>
      <t>https://www.scopus.com/inward/record.uri?eid=2-s2.0-79955455068&amp;doi=10.1177%2f0042098010375325&amp;partnerID=40&amp;md5=00a9df7351a1231f61daaf682834e6ea</t>
    </r>
  </si>
  <si>
    <t>The International Institute for Environment and Development, The University of Manchester, Institute for Development Policy and Management and the Brooks World Poverty Institute, Manchester, M13 9PL, Oxford Road, United Kingdom</t>
  </si>
  <si>
    <t>Mitlin D., The International Institute for Environment and Development, The University of Manchester, Institute for Development Policy and Management and the Brooks World Poverty Institute, Manchester, M13 9PL, Oxford Road, United Kingdom</t>
  </si>
  <si>
    <t>This paper introduces innovations in shelter programmes currently emerging in the global South. The paper discusses the evolution of a new approach aimed at reaching some of the lowest-income groups. This approach is placed within its historical and ideological context through a review of previous efforts and an analysis of present shelter programmes. While the new approach has aspects that appear to be consistent with neo-liberal economic policy, in practice there is a significant role for the state to enable greater inclusion through the provision of subsidies and greater affordability within an appropriate regulatory framework. © 2010 Urban Studies Journal Limited.</t>
  </si>
  <si>
    <t>AFFORDABLE HOUSING; IDEOLOGY; LITERATURE REVIEW; LOW INCOME POPULATION; NEOLIBERALISM; REGULATORY APPROACH; SOUTHERN HEMISPHERE; SUBSIDY SYSTEM</t>
  </si>
  <si>
    <t>Urban Stud.</t>
  </si>
  <si>
    <t>McKinlay A.; Baldwin C.; Stevens N.J.</t>
  </si>
  <si>
    <t>McKinlay, Anna (57209481940); Baldwin, Claudia (36090700500); Stevens, Nicholas J. (56433779900)</t>
  </si>
  <si>
    <t>Size Matters: Dwelling Size as a Critical Factor for Sustainable Urban Development</t>
  </si>
  <si>
    <t>10.1080/08111146.2017.1374944</t>
  </si>
  <si>
    <r>
      <rPr>
        <u/>
        <sz val="10"/>
        <color rgb="FF000000"/>
        <rFont val="Helvetica Neue"/>
      </rPr>
      <t>https://www.scopus.com/inward/record.uri?eid=2-s2.0-85067906702&amp;doi=10.1080%2f08111146.2017.1374944&amp;partnerID=40&amp;md5=99baf0679f362fde830daa1a4b6eba95</t>
    </r>
  </si>
  <si>
    <t>Urban Design and Town Planning Program, University of the Sunshine Coast, Maroochydore, Australia</t>
  </si>
  <si>
    <t>McKinlay A., Urban Design and Town Planning Program, University of the Sunshine Coast, Maroochydore, Australia; Baldwin C., Urban Design and Town Planning Program, University of the Sunshine Coast, Maroochydore, Australia; Stevens N.J., Urban Design and Town Planning Program, University of the Sunshine Coast, Maroochydore, Australia</t>
  </si>
  <si>
    <t xml:space="preserve">A critical residential planning objective through much of world is how to create sustainable urban development. Within this context, the average Australian home has been rapidly increasing in size to be among the largest in the world. An innovative approach was used to form a conceptual framework from a critical review of academic literature. It illustrates that the increase in dwelling size is counterproductive to sustainable urban development challenges of urban consolidation, green urbanism and housing affordability. A review of selected government policy and industry guidelines at spatial scales of neighbourhood, region and nation is used to validate the framework. It reveals that issues associated with dwelling size are not represented in strategic approaches. The outcome of this research is a conceptual framework, which illustrates the relationship between increasing dwelling size and its effect on urban sustainability. </t>
  </si>
  <si>
    <t>Dwelling size; green urbanism; housing affordability; McMansion; sustainability; urban consolidation</t>
  </si>
  <si>
    <t>Ingaramo L.; Sabatino S.</t>
  </si>
  <si>
    <t>Ingaramo, Luisa (55226389200); Sabatino, Stefania (55225864400)</t>
  </si>
  <si>
    <t>Social housing: New demand, new tools: Affordable finance for affordable housing through real estate ethical funds</t>
  </si>
  <si>
    <t>10.1108/17538271111172166</t>
  </si>
  <si>
    <r>
      <rPr>
        <u/>
        <sz val="10"/>
        <color rgb="FF000000"/>
        <rFont val="Helvetica Neue"/>
      </rPr>
      <t>https://www.scopus.com/inward/record.uri?eid=2-s2.0-84861384590&amp;doi=10.1108%2f17538271111172166&amp;partnerID=40&amp;md5=94ccc140fd3681c6214855ea8a8a94e8</t>
    </r>
  </si>
  <si>
    <t>SiTI-Higher Institute on Territorial Systems for Innovation, Polytechnic of Turin, Turin, Italy</t>
  </si>
  <si>
    <t>Ingaramo L., SiTI-Higher Institute on Territorial Systems for Innovation, Polytechnic of Turin, Turin, Italy; Sabatino S., SiTI-Higher Institute on Territorial Systems for Innovation, Polytechnic of Turin, Turin, Italy</t>
  </si>
  <si>
    <t>Purpose: In light of growing concerns on the scale of the housing affordability problem in Italy, and of the government's response in the form of a new Housing Plan, the purpose of this paper is to ask whether such new policy is a coherent and adequate strategy to address the alleged housing problems. In order to answer this core question, the paper first discusses whether Italy is indeed facing an affordability problem; it then analyses the evolving housing policy and the emerging solutions for its implementation to identify its core innovative features. Design/methodology/approach: This paper highlights the emerging role of social housing in Italy by presenting secondary evidence of the performance of real estate markets and of the demand for rented housing for 12 Italian metropolitan areas. The paper focuses on renters in an intermediate income bracket, which represents a core emerging social housing target group. Relying on existing evidence and international literature, the paper then discusses the implications of the new legislative framework for the delivery of social housing in Italy, with a focus on discussing the system of local real estate ethical funds, setting it against the evolving European context. Findings: The recently introduced changes to the delivery and funding model in the Italian social housing system offer an opportunity to overcome the traditional Italian approach to social housing. First, the new model serves a new target group to avoid it drifting into relative poverty, and second it allows new subjects, and primarily banking foundations, to actively pursue an ethical return on their investment in new housing. The complexity of the local real estate ethical funds, however, constitutes a source of risk in the new delivery model, and the short time for which existing funds have been operational only leaves room for some preliminary considerations. Nonetheless, the analysis conducted in this paper indicates the core areas that will need to be monitored in the medium to long term to ensure a meaningful understanding of the implications of the Plan. Research limitations/implications: A conclusive assessment of the Housing Plan and its impacts on the Italian economy requires a longer timeframe. Originality/value: The paper offers an insight in the Italian rented housing market, with a focus on large metropolitan areas. It presents a review of evidence of housing affordability problems facing midium- to low-income groups, and therefore adds to growing body of social housing international literature. It also provides a review of the emerging system of local real estate ethical funds, and therefore useful reference for national and international social housing and real estate funds practitioners and researchers. © Emerald Group Publishing Limited.</t>
  </si>
  <si>
    <t>Banking foundations; Delivery and funding models; Ethical returns; Financing; Government policy; Housing; Housing affordability; Italy; Social housing; Urban areas</t>
  </si>
  <si>
    <t>Kajiita R.M.; Kang’ethe S.M.</t>
  </si>
  <si>
    <t>Kajiita, Robert Mutemi (57195319154); Kang’ethe, Simon Murote (56414833100)</t>
  </si>
  <si>
    <t>Socio-Economic Dynamics Inhibiting Inclusive Urban Economic Development: Implications for Sustainable Urban Development in South African Cities</t>
  </si>
  <si>
    <t>SUSTAINABILITY (SWITZERLAND) </t>
  </si>
  <si>
    <t>10.3390/su16072803</t>
  </si>
  <si>
    <r>
      <rPr>
        <u/>
        <sz val="10"/>
        <color rgb="FF000000"/>
        <rFont val="Helvetica Neue"/>
      </rPr>
      <t>https://www.scopus.com/inward/record.uri?eid=2-s2.0-85190113762&amp;doi=10.3390%2fsu16072803&amp;partnerID=40&amp;md5=5902cd1f24ed0c0c754bfeb47611ea90</t>
    </r>
  </si>
  <si>
    <t>Department of Social Work, Walter Sisulu University, Mthatha, 5117, South Africa</t>
  </si>
  <si>
    <t>Kajiita R.M., Department of Social Work, Walter Sisulu University, Mthatha, 5117, South Africa; Kang’ethe S.M., Department of Social Work, Walter Sisulu University, Mthatha, 5117, South Africa</t>
  </si>
  <si>
    <t>Globally, the need for sustainable urban development has never been more urgent than it is now. This is because estimates indicate that more than half of the global population will be living in urban areas by 2050, with South Africa estimated at 80%. This paper focuses on socio-economic nuances that impede sustainable urban development, as well as the strategies that can accelerate sustainable and inclusive urban development in South Africa. Through a literature-review methodology, the analysis identified the following issues as impediments to sustainable urban development in South Africa: informality, lack of consultations with urban citizens, unresolved apartheid legacies, crime and insecurity, and migration intricacies in South Africa. The paper also establishes prospective strategies to accelerate sustainable urban development, such as working with informality and not against it, promoting inclusivity and access to resources, accelerating policy reforms, investing in rural towns, and investing in superior technology and innovation. These findings imply that there is a need to seek alternative development models and approaches, to address poverty, unemployment, and poor housing, aspects that negatively impact urban development planning and sustainable development. The paper recommends inclusive urban housing as a remedy to address the challenges of access, affordability, and the quality of housing facilities in urban areas. © 2024 by the authors.</t>
  </si>
  <si>
    <t>South Africa; sustainable development; sustainable urban development</t>
  </si>
  <si>
    <t>SOUTH AFRICA; APARTHEID; MIGRATION; URBAN DEVELOPMENT; URBAN HOUSING</t>
  </si>
  <si>
    <t>MULTIDISCIPLINARY DIGITAL PUBLISHING INSTITUTE (MDPI)</t>
  </si>
  <si>
    <t>Okitasari M.; Mishra R.; Suzuki M.</t>
  </si>
  <si>
    <t>Okitasari, Mahesti; Mishra, Ranjeeta; Suzuki, Masachika</t>
  </si>
  <si>
    <t>Socio-Economic Drivers of Community Acceptance of Sustainable Social Housing: Evidence from Mumbai</t>
  </si>
  <si>
    <t>SUSTAINABILITY</t>
  </si>
  <si>
    <t>10.3390/su14159321</t>
  </si>
  <si>
    <t>United Nations University; Reserve Bank of India; Sophia University</t>
  </si>
  <si>
    <t>Okitasari M., United Nations Univ Inst Adv Study Sustainabil, Tokyo 1508925, Japan; Mishra R., Reserve Bank India, Mumbai 400001, Maharashtra, India; Suzuki M., Sophia Univ, Grad Sch Global Environm Studies, Tokyo 1028554, Japan and United Nations Univ Inst Adv Study Sustainabil, Tokyo 1508925, Japan</t>
  </si>
  <si>
    <t>The impact of socio-cultural outlooks on the acceptance of sustainability measures in a low-income context should be complemented by better understanding of socio-economic drivers to bridge the gaps between policy expectation and acceptance in social housing projects. The study attempts to explore the different aspects of well-being in determining the housing satisfaction of the residents of social housing under the slum rehabilitation schemes in Mumbai. Social housing offers considerably improved social and environmental sustainability components compared to slums; however, social acceptability remains low due to their location disadvantages. Using primary data collection from the sample of 298 households in Mumbai, the paper explores the varying levels of their housing satisfaction. The study found that economic opportunity is low in slum rehabilitation, mostly reflected in the job loss of the second earner, exacerbated by the change of work after shifting to social housing. Among other factors, location, accessibility of the building, household size and opportunity for social engagement play the most critical role in deciding the households' perceived housing satisfaction with social housing compared to slums.</t>
  </si>
  <si>
    <t>sustainability; social housing; community acceptance; housing affordability; housing accessibility; India</t>
  </si>
  <si>
    <t>SLUM REHABILITATION; RENEWABLE ENERGY; SATISFACTION; PERCEPTIONS; INNOVATION; BUILDINGS</t>
  </si>
  <si>
    <t>Zhang Z.; Zhou M.; Luo X.; Huang L.</t>
  </si>
  <si>
    <t>Zhang, Zuo; Zhou, Min; Luo, Xiang; Huang, Lin</t>
  </si>
  <si>
    <t>Spatially Subsidized Benefits-Based Spatial Decision for Affordable Housing: Prototype and Case Study in China</t>
  </si>
  <si>
    <t>JOURNAL OF URBAN PLANNING AND DEVELOPMENT</t>
  </si>
  <si>
    <t>10.1061/(ASCE)UP.1943-5444.0000633</t>
  </si>
  <si>
    <t>Central China Normal University; Huazhong University of Science &amp; Technology</t>
  </si>
  <si>
    <t>Zhang Z., Cent China Normal Univ, Coll Publ Adm, 152 Luoyu Rd, Wuhan 430079, Peoples R China; Zhou M., Huazhong Univ Sci &amp; Technol, Coll Publ Adm, 1073 Luoyu Rd, Wuhan 430079, Peoples R China; Huang L., CCCC Second Highway Consultant Co Ltd, 18 Chuangye Rd, Wuhan 430056, Peoples R China; Luo X., Cent China Normal Univ, Coll Publ Adm, 152 Luoyu Rd, Wuhan 430079, Peoples R China</t>
  </si>
  <si>
    <t>Chinese cities have experienced unprecedented growth in the past few decades. In this context, the rapid rise of housing prices in Chinese cities makes the affordability of homeownership one of the biggest challenges related to people's livelihood. As a forming part of public housing, affordable housing in China mainly targets medium and low-income urban residents who cannot afford commodity housing. The spatial site selection and layout of affordable housing, which becomes a challenge for urban planners and policymakers, is potentially related to a spatial differentiation and the spread of poverty. In this study, we propose a conceptual model of spatially subsidized benefits (SSBs) of affordable housing by combining affordable housing prices and ordinary commodity housing prices in the same or adjacent location in the city. Moreover, by integrating the multiple digital elevation models (DEMs) with geographic information systems, we design a prototype for the spatial decision support system of affordable housing, which takes into account the cost of land for government, public transport facilities, residents' spatial demand, and the prevention of spatial differentiation. Using the case of Wuhan (China), we simulate the spatial layout of the SSBs of affordable housing in the city under multiple hypothetical scenarios. Our results show that SSBs display clear hierarchical characteristics under different scenarios. The findings indicate that the quantitative spatial decision method based on SSBs can provide effective technical support for Chinese urban planners or policymakers to realize a scientific layout of affordable housing under different scenarios, avoiding the risk of spatially differentiating low-income residents. Further, it also provides some insights into the innovative application of multiple DEMs in urban planning.</t>
  </si>
  <si>
    <t>Affordable housing; Spatially subsidized benefit; Spatial decision support system; Digital elevation model; Residential differentiation</t>
  </si>
  <si>
    <t>WUHAN CITY; IMPACT; POLICY; MODEL; PRICE; SATISFACTION; INTERESTS; SUPPORT; FINANCE; CITIES</t>
  </si>
  <si>
    <t>ASCE-AMER SOC CIVIL ENGINEERS</t>
  </si>
  <si>
    <t>J. Urban Plan. Dev</t>
  </si>
  <si>
    <t>Gu N.; Soltani S.; London K.; Pablo Z.; Davis A.</t>
  </si>
  <si>
    <t>Gu, Ning; Soltani, Sahar; London, Kerry; Pablo, Zelinna; Davis, Aaron</t>
  </si>
  <si>
    <t>Stakeholders' Perceptions of Digital Collaboration in Delivering a Mixed-Use Housing Development Project: A Case Study in Australia</t>
  </si>
  <si>
    <t>BUILDINGS</t>
  </si>
  <si>
    <t>10.3390/buildings13092229</t>
  </si>
  <si>
    <t>University of South Australia; Monash University; Torrens University Australia</t>
  </si>
  <si>
    <t>Gu N., Univ South Australia, UniSA Creat, Adelaide, SA 5000, Australia; Soltani S., Monash Univ, Future Bldg Initiat, Melbourne, Vic 3145, Australia; London K. P. Z., Torrens Univ, CHSD Ctr Hlth Sustainable Dev, Sydney, NSW 2010, Australia; Davis A., Univ South Australia, UniSA Creat, Adelaide, SA 5000, Australia; Pablo Z., Torrens Univ, CHSD Ctr Hlth Sustainable Dev, Sydney, NSW 2010, Australia</t>
  </si>
  <si>
    <t>The paper presents an analysis of collaborative processes in delivering mixed-use housing developments, with a focus on the adoption and roles of digital collaboration to address complex challenges. Extending the collaborative practice (CP) model, the research utilises a qualitative approach and an instrumental case study involving nine semi-structured interviews with key stakeholders from an award-winning mixed-use housing development in Australia. The study identifies key collaboration elements, such as early project establishment, a well-defined brief, and an adaptive integrated digital plan relevant to the interdisciplinary team. The scarcity of successful extreme mixed-use cases globally highlights the need for a core conceptual model for collaboration in complex housing developments, focused on digital collaboration, to support future projects in the sector. The research emphasises social innovation in mixed-use housing developments and highlights the importance of effective digital collaboration for addressing environmental, economic, and social sustainability needs. Contributions to the field extend both theoretical and empirical aspects of the CP model, critically exploring the potential of digital collaboration in mixed-use housing projects. The findings reveal critical elements for establishing a digital collaboration plan, leveraging technology to enhance stakeholder experiences and project delivery. The research is especially relevant in the post-COVID era, where digital collaboration gains significance for the industry.</t>
  </si>
  <si>
    <t>digital collaboration; Building Information Modelling (BIM); mixed-use housing; construction management</t>
  </si>
  <si>
    <t>PHYSICAL-ACTIVITY; URBAN DESIGN; CONSTRUCTION; POLICY; BIM; TECHNOLOGIES; HEALTH; AFFORDABILITY; ENVIRONMENT; COMPLEXES</t>
  </si>
  <si>
    <t>BUILDINGS-BASEL</t>
  </si>
  <si>
    <t>Basolo V.; Scally C.P.</t>
  </si>
  <si>
    <t>Basolo, Victoria (6603617974); Scally, Corianne P. (25653233900)</t>
  </si>
  <si>
    <t>State innovations in affordable housing policy: Lessons from California and New Jersey</t>
  </si>
  <si>
    <t>10.1080/10511482.2008.9521654</t>
  </si>
  <si>
    <r>
      <rPr>
        <u/>
        <sz val="10"/>
        <color rgb="FF000000"/>
        <rFont val="Helvetica Neue"/>
      </rPr>
      <t>https://www.scopus.com/inward/record.uri?eid=2-s2.0-66349124760&amp;doi=10.1080%2f10511482.2008.9521654&amp;partnerID=40&amp;md5=496cf6cce5e197793e0bbe154d16d545</t>
    </r>
  </si>
  <si>
    <t>University of California, Irvine, United States; University at Albany, SUNY, United States</t>
  </si>
  <si>
    <t>Basolo V., University of California, Irvine, United States; Scally C.P., University at Albany, SUNY, United States</t>
  </si>
  <si>
    <t>Decades of diminishing federal leadership and support for affordable housing policy have opened up a gap in public response to housing needs. Filling this gap is critical if the long-held goal of decent (and affordable) housing for every American is to be honored and communities are to thrive. This article investigates state governments in an era of federal retreat by examining the factors associated with innovations in housing policy in California and New Jersey, two reputed leaders in state housing policy. We collected data through interviews with key informants, as well as from meetings, reports, public documents, agency records, and other secondary sources. Our analysis indicates that state innovations in housing policy are influenced by bureaucratic (internal) factors, such as funding and agency structure, and by environmental (external) factors, such as local autonomy and interest group activity. We conclude with the policy and research implications of our findings.</t>
  </si>
  <si>
    <t>Affordability; Policy; State</t>
  </si>
  <si>
    <t>Nasreen Z.; Gurran N.; Shrestha P.</t>
  </si>
  <si>
    <t>Nasreen, Zahra (57205210836); Gurran, Nicole (16315593600); Shrestha, Pranita (57209508767)</t>
  </si>
  <si>
    <t>Supplementary rental supply? The digital market for low-cost and informal housing in Sydney, Australia</t>
  </si>
  <si>
    <t>10.1177/00420980241262227</t>
  </si>
  <si>
    <r>
      <rPr>
        <u/>
        <sz val="10"/>
        <color rgb="FF000000"/>
        <rFont val="Helvetica Neue"/>
      </rPr>
      <t>https://www.scopus.com/inward/record.uri?eid=2-s2.0-85200046517&amp;doi=10.1177%2f00420980241262227&amp;partnerID=40&amp;md5=7c9e40fcf744b120c21e7188505a318f</t>
    </r>
  </si>
  <si>
    <t>The University of Sydney, Australia</t>
  </si>
  <si>
    <t>Nasreen Z., The University of Sydney, Australia; Gurran N., The University of Sydney, Australia; Shrestha P., The University of Sydney, Australia</t>
  </si>
  <si>
    <t xml:space="preserve">This article examines real estate platforms and the data they generate to provide new insights into housing markets and practices, focusing on lower-cost and informal sectors, where building or rental regulations are often bypassed or contravened. We examine online listings advertised in Sydney, one of the most expensive cities in Australia and the world, compiling data from four dominant platforms – Realestate.com.au, Flatmates.com.au, Gumtree.com.au and Airbnb.com – each of which offers a particular type of rental accommodation. Using these datasets, we identify a typology of lower-cost and informal tenures and dwelling units, ranging from secondary dwellings and illegally subdivided apartments to shared accommodation and precarious rental agreements. Our study highlights a supplementary supply of rental housing, operating within the conventional private rental market, accessed and made visible via the platforms we examine. Applying a statistical regression approach, we examine relationships between concentrations of informal housing supply and socio-economic variables. The findings reveal intersections between digital platforms and evolving informal market practices and have implications for urban planning and housing policy. </t>
  </si>
  <si>
    <t>Airbnb; housing affordability; informal housing; platform real estate; private rental sector</t>
  </si>
  <si>
    <t>AUSTRALIA; NEW SOUTH WALES; SYDNEY [NEW SOUTH WALES]; AFFORDABLE HOUSING; HOUSING POLICY; MARKET CONDITIONS; PRIVATE SECTOR; SPATIOTEMPORAL ANALYSIS; URBAN AREA; URBAN PLANNING</t>
  </si>
  <si>
    <t>Xuan L.L.; Fung W.P.; Yan F.Y.Y.</t>
  </si>
  <si>
    <t>Xuan, Lai Li (59149884800); Fung, Wong Phui (57117012400); Yan, Felicia Yong Yan (59274260500)</t>
  </si>
  <si>
    <t>SUSTAINABILITY CRITERIA FOR AFFORDABLE HOUSINGS IN KLANG VALLEY MALAYSIA</t>
  </si>
  <si>
    <t>MALAYSIAN CONSTRUCTION RESEARCH JOURNAL</t>
  </si>
  <si>
    <r>
      <rPr>
        <u/>
        <sz val="10"/>
        <color rgb="FF000000"/>
        <rFont val="Helvetica Neue"/>
      </rPr>
      <t>https://www.scopus.com/inward/record.uri?eid=2-s2.0-85194577110&amp;partnerID=40&amp;md5=531262119f2363b5a05707a44ec398ab</t>
    </r>
  </si>
  <si>
    <t>Department of Surveying, Lee Kong Chian Faculty of Engineering and Science, Universiti Tunku Abdul Rahman (UTAR), Sungai Long Campus, Selangor, Kajang, 43000, Malaysia</t>
  </si>
  <si>
    <t>Xuan L.L., Department of Surveying, Lee Kong Chian Faculty of Engineering and Science, Universiti Tunku Abdul Rahman (UTAR), Sungai Long Campus, Selangor, Kajang, 43000, Malaysia; Fung W.P., Department of Surveying, Lee Kong Chian Faculty of Engineering and Science, Universiti Tunku Abdul Rahman (UTAR), Sungai Long Campus, Selangor, Kajang, 43000, Malaysia; Yan F.Y.Y., Department of Surveying, Lee Kong Chian Faculty of Engineering and Science, Universiti Tunku Abdul Rahman (UTAR), Sungai Long Campus, Selangor, Kajang, 43000, Malaysia</t>
  </si>
  <si>
    <t>Housing affordability and sustainability is a global concern around the world including Malaysia. Sustainable development is a multifaceted process integrating environmental protection with economic, social, and cultural development. Yet, most affordable housing policies in developing countries failed to address the three sustainability pillars. The affordable housing scheme, PR1MA, could not meet homebuyers’ needs, resulting in a low take-up rate. Meanwhile, the Malaysian government has recommended including innovative technologies and sustainability features in Malaysian social housing to improve inhabitants' living quality. Hence, this research aims to analyse the sustainability criteria for affordable housing based on the homebuyers’ perspective. The criteria contributing to sustainability in affordable housing were categorised into the environment, economic, social and technological criteria A questionnaire was designed and distributed to B40 and M40 homebuyers in the Klang Valley. The data obtained were analysed using Arithmetic Mean, Mann-Whitney U Test and Kruskal-Wallis Test to identify the differences between each demographic group on sustainability criteria. This study concluded economic sustainability is essential in sustainable, affordable housing development from the homebuyers’ perspective. Results also revealed that homebuyers with different demographic backgrounds have different preferences on sustainability criteria when purchasing affordable housings. The findings could guide future affordable housing policies to meet homebuyers’ requirements to address property overhang and affordability issues. The research complies to the United Nations Sustainable Development Goal 11 to ensure citizens’ access to adequate and affordable housing in sustainable cities and communities. © 2024, Construction Research Institute of Malaysia. All rights reserved.</t>
  </si>
  <si>
    <t>Affordability; Affordable Housing; Sustainability; Sustainability Criteria; Sustainable Affordable Housing</t>
  </si>
  <si>
    <t>CONSTRUCTION RESEARCH INSTITUTE OF MALAYSIA</t>
  </si>
  <si>
    <t>Malays. Constr. Res. J.</t>
  </si>
  <si>
    <t>Ebrahimigharehbaghi S.; van der Heijden H.; Elsinga M.</t>
  </si>
  <si>
    <t>Ebrahimigharehbaghi, Shima (57201366181); van der Heijden, Harry (7006701025); Elsinga, Marja (23479607900)</t>
  </si>
  <si>
    <t>Sustainable business model of affordable zero energy houses: Upscaling potentials</t>
  </si>
  <si>
    <t>10.1016/j.jclepro.2022.130956</t>
  </si>
  <si>
    <r>
      <rPr>
        <u/>
        <sz val="10"/>
        <color rgb="FF000000"/>
        <rFont val="Helvetica Neue"/>
      </rPr>
      <t>https://www.scopus.com/inward/record.uri?eid=2-s2.0-85125487759&amp;doi=10.1016%2fj.jclepro.2022.130956&amp;partnerID=40&amp;md5=e9d889487e33fcbf6380e371fdc40ca4</t>
    </r>
  </si>
  <si>
    <t>Delft University of Technology, Faculty of Architecture and the Built Environment, Julianalaan 134, Delft, 2628 BL, Netherlands</t>
  </si>
  <si>
    <t>Ebrahimigharehbaghi S., Delft University of Technology, Faculty of Architecture and the Built Environment, Julianalaan 134, Delft, 2628 BL, Netherlands; van der Heijden H., Delft University of Technology, Faculty of Architecture and the Built Environment, Julianalaan 134, Delft, 2628 BL, Netherlands; Elsinga M., Delft University of Technology, Faculty of Architecture and the Built Environment, Julianalaan 134, Delft, 2628 BL, Netherlands</t>
  </si>
  <si>
    <t>In 2018, the average number of occupants per dwelling is steadily decreasing, creating a demand for small, affordable housing. According to European Union energy targets, new small homes should be energy efficient. However, data clearly shows that energy efficient homes are mostly unaffordable and there is an urgent need to design and build small affordable zero energy homes. However, a sustainable business model for small affordable zero energy homes has not yet been developed in European countries. The Housing 4.0 Energy project explores the development of affordable zero energy homes in three countries: the Netherlands, Belgium and Ireland. This study explores the business models and potential for scaling up the five schemes (Ireland operates three schemes in different counties). The results of this study may be useful to practitioners, policy makers, and small families facing the problem of affordable zero energy homes. The Dutch scheme targets a market of self-builders of low-middle income households. In the Flemish scheme, non-profit social rental agencies provide the houses for low-income groups. In Ireland, local authorities provide social housing for applicants on waiting lists. The Business Model Canvas (BMC) is used to analyse the business models for affordable zero energy homes in these countries. Data is collected mainly through interviews and focus group meetings with experts. The results show that all schemes create environmental, social and economic sustainability values for low/low-middle income households by providing energy efficient, comfortable and affordable homes. Several barriers to the upscaling of these homes were identified, such as cultural barriers in design, building materials, as well as legal and technical barriers. The technical barriers can be addressed in a relatively short time, but overcoming cultural and behavioural barriers might be more difficult. Engaging government, market participants, and providers can accelerate the development of these schemes. Examples of different schemes and the courses developed during the project can be used to disseminate the results of the business models of these schemes. Finally, the business models of the schemes can be modified and adopted for the development of affordable zero energy homes in other countries. © 2022</t>
  </si>
  <si>
    <t>Affordability; Belgium; Business model innovation; Digital platform; Ireland; The Netherlands; Zero energy housing</t>
  </si>
  <si>
    <t>COMMERCE; ECONOMIC AND SOCIAL EFFECTS; ENERGY EFFICIENCY; ENERGY POLICY; HOUSING; AFFORDABILITY; BELGIUM; BUSINESS MODEL INNOVATION; BUSINESS MODELS; DIGITAL PLATFORMS; IRELAND; THE NETHERLAND; ZERO ENERGIES; ZERO ENERGY HOUSING; SUSTAINABLE DEVELOPMENT</t>
  </si>
  <si>
    <t>Cucca R.</t>
  </si>
  <si>
    <t>Cucca, Roberta (55255229200)</t>
  </si>
  <si>
    <t>Taking contextual differences into account in green gentrification research. The case of Vienna</t>
  </si>
  <si>
    <t>SOCIOLOGIA URBANA E RURALE</t>
  </si>
  <si>
    <t>10.3280/SUR2019-119004</t>
  </si>
  <si>
    <r>
      <rPr>
        <u/>
        <sz val="10"/>
        <color rgb="FF000000"/>
        <rFont val="Helvetica Neue"/>
      </rPr>
      <t>https://www.scopus.com/inward/record.uri?eid=2-s2.0-85085933340&amp;doi=10.3280%2fSUR2019-119004&amp;partnerID=40&amp;md5=391f3a68d650fb98d4b001bf4441b778</t>
    </r>
  </si>
  <si>
    <t>Norwegian University of Life Sciences, Norway</t>
  </si>
  <si>
    <t>Cucca R., Norwegian University of Life Sciences, Norway</t>
  </si>
  <si>
    <t>The relationship between environmental quality and settlement choices / opportunities is a long-standing issue and has always influenced the distribution of different social groups in the urban space. Recently, the scientific literature has focused on the analysis of ecological gentrification processes in analyzing this phenomenon; in Europe, however, this literature is still underdeveloped. The article attempts to shed light on some specificities of the European case, describing the case of Vienna. Although the Austrian Capital is a context of strong demographic growth and characterized by a public action attentive to environmental innovation, urban renewal processes do not appear to drive significant ecological gentrification processes. The case of Vienna shows that, promoting an articulated system of housing policies and urban renewal programs, is an effective strategy to combine environmental innovation and housing affordability. © 2019 Franco Angeli Edizioni. All rights reserved.</t>
  </si>
  <si>
    <t>Ecological gentrification; Environmental policies; Housing policies; Inequalities; Residential segregation; Vienna</t>
  </si>
  <si>
    <t>FRANCO ANGELI EDIZIONI</t>
  </si>
  <si>
    <t>Sociol. Urbana  Rurale</t>
  </si>
  <si>
    <t>Wijburg, G</t>
  </si>
  <si>
    <t>Wijburg, Gertjan</t>
  </si>
  <si>
    <t>Tax-incentivized housing production and the affordability crisis: International lessons from the low-income housing tax credit program in the United States</t>
  </si>
  <si>
    <t>10.1080/02673037.2022.2135172</t>
  </si>
  <si>
    <t>KU Leuven</t>
  </si>
  <si>
    <t>Wijburg G., Univ Leuven, Div Geog &amp; Tourism, KU Leuven, Celestijnenlaan 200-E, B-3001 Heverlee, Belgium</t>
  </si>
  <si>
    <t>Historically, many Western nations have subsidized public and affordable housing with public grants and government-backed loans. However, in response to declining housing affordability and high land and development costs, various national governments are now introducing tax-based housing incentives to promote affordable housing production by private actors. Understanding the broader implications of this shift to tax subsidy and private investment, this review reflects on the market outcomes of arguably the most documented tax-based housing program in the Western world: the low-income housing tax credit program (LIHTC) in the United States. Although LIHTC remains a unique and distinctive instrument, some valuable lessons can be learned from it. In comparative terms, the program offers stricter affordability requirements than its counterparts introduced in countries like Australia, Chile, Colombia, France and Germany. Furthermore, it is accompanied by stronger regulations to commit investors and developers to the housing cause on a more long-term basis. However, despite potential benefits, tax-incentivized housing production does not necessarily result in efficient or equitable housing solutions. In non-American contexts, its increased importance coincides with the emergence of market-oriented social welfare systems where affordable rents are set higher and where tenure is more flexible and heterogeneous.</t>
  </si>
  <si>
    <t>Fiscal instruments; housing affordability; affordable housing finance; affordable housing crisis; housing privatization; LIHTC</t>
  </si>
  <si>
    <t>INSTITUTIONAL INVESTMENT; FISCAL GEOGRAPHIES; NEW-YORK; SECURITIZATION; RETHINKING; INNOVATION; POLITICS; POLICY; MARKET; CITY</t>
  </si>
  <si>
    <t>Rahman M.M.</t>
  </si>
  <si>
    <t>Rahman, Mohammad Mafizur (55295683900)</t>
  </si>
  <si>
    <t>The Australian housing market - understanding the causes and effects of rising prices</t>
  </si>
  <si>
    <t>POLICY STUDIES</t>
  </si>
  <si>
    <t>10.1080/01442872.2010.497261</t>
  </si>
  <si>
    <r>
      <rPr>
        <u/>
        <sz val="10"/>
        <color rgb="FF000000"/>
        <rFont val="Helvetica Neue"/>
      </rPr>
      <t>https://www.scopus.com/inward/record.uri?eid=2-s2.0-77957863869&amp;doi=10.1080%2f01442872.2010.497261&amp;partnerID=40&amp;md5=95b919c549ac37d2f788a05d10738690</t>
    </r>
  </si>
  <si>
    <t>School of Accounting, Economics and Finance, Faculty of Business, University of Southern Queensland, Toowoomba, QLD 4350, Australia</t>
  </si>
  <si>
    <t>Rahman M.M., School of Accounting, Economics and Finance, Faculty of Business, University of Southern Queensland, Toowoomba, QLD 4350, Australia</t>
  </si>
  <si>
    <t>This article analyses current housing market conditions in Australia; specifically the factors that have caused increased housing prices in recent years and their implications. The article finds that the number of home owners with a mortgage and the number of renters have increased. For owners with a mortgage, average housing costs escalated substantially. Interest rates, investment demand, economic climate, financial deregulation and innovation, land supply and the land-use planning system, government taxes, levies and charges, demography, economic growth and wealth effect all play a vital role in influencing housing prices. Rising house prices positively impact on home owners' wealth, aggregate demand, employment and real GDP, and reduce affordability of first-home buyers and wellbeing of Australians in aggregate. It is argued that increasing the supply of housing, approval of tax-free savings for first-home buyers, regional development and reduction of government taxes, levies and charges should be the focus of future policy development to redress these problems.</t>
  </si>
  <si>
    <t>Australia; Housing market; Housing policy; Housing prices</t>
  </si>
  <si>
    <t>Policy Stud.</t>
  </si>
  <si>
    <t>August M.</t>
  </si>
  <si>
    <t>August, Martine (25421157900)</t>
  </si>
  <si>
    <t>The financialization of Canadian multi-family rental housing: From trailer to tower</t>
  </si>
  <si>
    <t>JOURNAL OF URBAN AFFAIRS</t>
  </si>
  <si>
    <t>10.1080/07352166.2019.1705846</t>
  </si>
  <si>
    <r>
      <rPr>
        <u/>
        <sz val="10"/>
        <color rgb="FF000000"/>
        <rFont val="Helvetica Neue"/>
      </rPr>
      <t>https://www.scopus.com/inward/record.uri?eid=2-s2.0-85081212619&amp;doi=10.1080%2f07352166.2019.1705846&amp;partnerID=40&amp;md5=55c9fc914553a30c45f1bfc9805bfb38</t>
    </r>
  </si>
  <si>
    <t>University of Waterloo, Canada</t>
  </si>
  <si>
    <t>August M., University of Waterloo, Canada</t>
  </si>
  <si>
    <t xml:space="preserve">After 20 years of disinvestment, new financial vehicles began targeting Canada’s multi-family apartment sector in the 1990s, with the first Real Estate Investment Trust (REIT) declaring “Apartments make money!” on the cover of their 1999 report. This paper details the financialization of multi-family rental, tracing how REITs grew from owning zero to 10% of Canada’s apartments, while “financialized” landlords comprise nine of the ten biggest landlords. I argue that neoliberal restructuring, government policy, and financial innovations created conditions for profitable reinvestment. This reinvestment is transforming the sector, building-by-building, into a global asset class. Meanwhile, in each suite, tenants are exposed to the logics of finance capital, in which “repositioning” strategies generate profits via dispossession. This paper traces the expansion of financialized landlords across a nation and down the urban hierarchy, from gentrified neighborhoods, to mobile home parks, to northern resource towns—finding that penetration is more prominent in jurisdictions with weaker rent controls. I propose a typology of geographic-investment strategies, in which “core,” “value-add,” and “opportunistic” investment strategies are applied in major markets, marginal geographies, and resource-oriented communities. This trend is understood as one with negative impacts on housing justice, affordability, and patterns of social and spatial inequality. </t>
  </si>
  <si>
    <t>CANADA; CAPITAL; FINANCIAL SERVICES; HOUSING CONDITIONS; HOUSING MARKET; HOUSING POLICY; INVESTMENT; RENTAL SECTOR</t>
  </si>
  <si>
    <t>J. Urban Aff.</t>
  </si>
  <si>
    <t>Brabo-Catala L.; Cernic A.; Collins E.; Barton B.</t>
  </si>
  <si>
    <t>Brabo-Catala, Luiza (57210291821); Cernic, Anca (58537322800); Collins, Eva (15135089600); Barton, Barry (7102770923)</t>
  </si>
  <si>
    <t>The heat goes on: Simplifying the identification of energy hardship</t>
  </si>
  <si>
    <t>EC5 - EC6</t>
  </si>
  <si>
    <t>HELIYON</t>
  </si>
  <si>
    <t>e19087</t>
  </si>
  <si>
    <t>10.1016/j.heliyon.2023.e19087</t>
  </si>
  <si>
    <r>
      <rPr>
        <u/>
        <sz val="10"/>
        <color rgb="FF000000"/>
        <rFont val="Helvetica Neue"/>
      </rPr>
      <t>https://www.scopus.com/inward/record.uri?eid=2-s2.0-85167984915&amp;doi=10.1016%2fj.heliyon.2023.e19087&amp;partnerID=40&amp;md5=1d329b2aa5bbd8f3ae06d0d2b3d50a28</t>
    </r>
  </si>
  <si>
    <t>Waikato Management School, University of Waikato, Hamilton, New Zealand; Independent Researcher, New Zealand; Te Piringa Faculty of Law, University of Waikato, Hamilton, New Zealand</t>
  </si>
  <si>
    <t>Brabo-Catala L., Waikato Management School, University of Waikato, Hamilton, New Zealand; Cernic A., Independent Researcher, New Zealand; Collins E., Waikato Management School, University of Waikato, Hamilton, New Zealand; Barton B., Te Piringa Faculty of Law, University of Waikato, Hamilton, New Zealand</t>
  </si>
  <si>
    <t>Energy hardship affects over 6% of households in New Zealand, defined as the inability to afford and obtain energy services. In late 2021, the Ministry of Business, Innovation and Employment proposed 26 indicators to identify energy hardship. However, this study aimed to explore the leading causes and consequences of energy hardship in the following year, including relevant variables not included in the proposed indicators. A survey of 1278 Kiwi respondents was conducted to understand their demographic and energy consumption patterns. Using 17 of the proposed indicators, the severity of energy hardship was measured and related to other important variables. Results showed that energy unaffordability, poor housing quality, and choosing between food expenses or energy bills were the main drivers of energy hardship. Consequences included feeling cold due to restricted energy consumption and accumulating energy debt. This study provides valuable insights to simplify the identification of households experiencing energy hardship and highlights the main areas of focus for policy development aimed at eradicating this problem. © 2023 The Authors</t>
  </si>
  <si>
    <t>Energy affordability; Energy efficiency; Energy hardship; Energy poverty; Fuel poverty; New Zealand</t>
  </si>
  <si>
    <t>Heliyon</t>
  </si>
  <si>
    <t>Bäckman C.; Lutz C.</t>
  </si>
  <si>
    <t>Bäckman, Claes (57204419479); Lutz, Chandler (7103325877)</t>
  </si>
  <si>
    <t>The impact of interest-only loans on affordability</t>
  </si>
  <si>
    <t>10.1016/j.regsciurbeco.2018.06.004</t>
  </si>
  <si>
    <r>
      <rPr>
        <u/>
        <sz val="10"/>
        <color rgb="FF000000"/>
        <rFont val="Helvetica Neue"/>
      </rPr>
      <t>https://www.scopus.com/inward/record.uri?eid=2-s2.0-85055527502&amp;doi=10.1016%2fj.regsciurbeco.2018.06.004&amp;partnerID=40&amp;md5=631c1ec5c07c176c815add4aa06fddf3</t>
    </r>
  </si>
  <si>
    <t>Department of Economics, Lund University and Knut Wiksell Centre for Financial Studies, Tycho Brahes väg 1, Lund, 223 63, Sweden; U.S. Securities and Exchange Commission, United States</t>
  </si>
  <si>
    <t>Bäckman C., Department of Economics, Lund University and Knut Wiksell Centre for Financial Studies, Tycho Brahes väg 1, Lund, 223 63, Sweden; Lutz C., U.S. Securities and Exchange Commission, United States</t>
  </si>
  <si>
    <t>We study the 2000s Danish legalization of interest-only (IO) loans, a mortgage market innovation aimed at increasing affordability and homeownership rates for cash-strapped buyers by substantially reducing first-year payments. Our results show that IO mortgages rapidly became popular in regions with higher house prices pre-treatment as well as with both the targeted cash-strapped borrowers and mortgage applicants spanning the wealth and income distributions. Just three years after policy implementation, IO mortgages constituted half of all outstanding Danish mortgages. The introduction of IO loans thus led to an increase in housing turnover and transactions. However, as these increases were dispersed across the distribution of homeowners, they did not lead to any changes in homeownership rates for the targeted group or allow any underserved buyer groups to enter the market. Broadly, our policy analysis documents how reforms targeting housing affordability and inequality can be exploited by the wider population, limiting intended effects.</t>
  </si>
  <si>
    <t>Housing affordability; Interest only mortgages; Mortgage lending</t>
  </si>
  <si>
    <t>AFFORDABLE HOUSING; ECONOMIC IMPACT; HOMEOWNERSHIP; HOUSING MARKET; HOUSING REFORM; MORTGAGE LENDING</t>
  </si>
  <si>
    <t>Includes policies</t>
  </si>
  <si>
    <t>Ronald R.; Schijf P.; Donovan K.</t>
  </si>
  <si>
    <t>Ronald, Richard; Schijf, Pauline; Donovan, Kelly</t>
  </si>
  <si>
    <t>The institutionalization of shared rental housing and commercial co-living</t>
  </si>
  <si>
    <t>10.1080/02673037.2023.2176830</t>
  </si>
  <si>
    <t>University of Amsterdam; University of Adelaide; University of Amsterdam</t>
  </si>
  <si>
    <t>Ronald R., Univ Amsterdam, Dept Geog &amp; Planning, Amsterdam, Netherlands, and Univ Adelaide, Australian Ctr Housing Res, Adelaide, SA, Australia; Schijf P., Netherlands Enterprise Agcy, Expert Team House Bldg, The Hague, Netherlands; Donovan K., Global Infrastruct Basel Fdn, Basel, Switzerland</t>
  </si>
  <si>
    <t>In context of diminishing housing affordability, shared renting has acquired new salience in recent years, especially for single young-adults. Public discourses often pose shared renting as a potential solution to the 'housing crisis', with new regulation and investment stimulating conversions to multiple-occupancy and growth in co-living developments. This paper addresses how Amsterdam, a deeply regulated market, has approached affordability concerns through transformations in the shared rental sector. Drawing on secondary data and stakeholder interviews we analyze developments in the institutional features of shared housing, focusing on the regulatory context under neo-liberal pressures. We identify shifts from 'traditional', relatively informalized sharing arrangements towards a more complex and institutionalized sector featuring growth and diversification in co-living provision. Beyond illustrating interaction between changing real-estate investment practices and Amsterdam's socioeconomic and regulatory context, our analysis innovates a rough typology of sharing and co-living and seeks to contribute to understanding of emerging forms of housing and precarity characteristic to the experiences of young urbanites.</t>
  </si>
  <si>
    <t>Shared housing; co-living; young people; singles; Amsterdam</t>
  </si>
  <si>
    <t>GENERATION RENT; POLICY; HOME</t>
  </si>
  <si>
    <t>Goëtzmann M.</t>
  </si>
  <si>
    <t>Goetzmann, Marc</t>
  </si>
  <si>
    <t>The Liberal Case for Community Land Trusts</t>
  </si>
  <si>
    <t>CANADIAN JOURNAL OF LAW &amp; JURISPRUDENCE</t>
  </si>
  <si>
    <t>10.1017/cjlj.2024.11</t>
  </si>
  <si>
    <t>Universite de Tours</t>
  </si>
  <si>
    <t>Goetzmann M., Univ Tours, Tours, France</t>
  </si>
  <si>
    <t>This paper argues that community land trusts (CLTs) can be part of a liberal housing policy from both an economic and a legal point of view. In this, I depart from the defense of community land trusts based on the so-called ' decommodification ' of housing. First, from an economic point of view, CLTs are a comparatively better option than other traditional policies, such as rent control, once the political complexity of housing policies is considered. Second, fostering autonomy and the capacity for self-authorship requires that individuals be able to choose from a diverse set of valuable institutional designs; CLTs correspond to that ideal and bring a unique nuance to the existing options within common-interest communities. Additionally, I look at the somewhat recent legal innovations that brought CLTs to Canada and continental Europe to show that the institutional flexibility of CLTs allows them to support different visions of self-realization through ownership.</t>
  </si>
  <si>
    <t>property; liberal; community land trust; Dagan; common-interest communities</t>
  </si>
  <si>
    <t>HOUSING AFFORDABILITY; PROPERTY; INEQUALITY; AUTONOMY; LAW</t>
  </si>
  <si>
    <t>CAMBRIDGE UNIV PRESS</t>
  </si>
  <si>
    <t>Can. J. Law Jurisd.</t>
  </si>
  <si>
    <t>Muir K.; Moran M.; Michaux F.; Findlay S.; Meltzer A.; Mason C.; Ramia I.; Heaney R.</t>
  </si>
  <si>
    <t>Muir, Kristy (25723611200); Moran, Michael (55605189300); Michaux, Fabienne (57210554668); Findlay, Suzanne (57204757143); Meltzer, Ariella (57117458700); Mason, Chris (36847335000); Ramia, Ioana (57188960747); Heaney, Richard (7103010689)</t>
  </si>
  <si>
    <t>The opportunities, risks and possibilities of social impact investment for housing and homelessness</t>
  </si>
  <si>
    <t>10.18408/ahuri-7110101</t>
  </si>
  <si>
    <r>
      <rPr>
        <u/>
        <sz val="10"/>
        <color rgb="FF000000"/>
        <rFont val="Helvetica Neue"/>
      </rPr>
      <t>https://www.scopus.com/inward/record.uri?eid=2-s2.0-85070874587&amp;doi=10.18408%2fahuri-7110101&amp;partnerID=40&amp;md5=5926eb7d6f37db1ca20cd72b1e97e607</t>
    </r>
  </si>
  <si>
    <t>University of New South Wales, Australia; Swinburne University of Technology, Australia; University of Western Australia, Australia</t>
  </si>
  <si>
    <t>Muir K., University of New South Wales, Australia; Moran M., Swinburne University of Technology, Australia; Michaux F., University of New South Wales, Australia; Findlay S., Swinburne University of Technology, Australia; Meltzer A., University of New South Wales, Australia; Mason C., Swinburne University of Technology, Australia; Ramia I., University of New South Wales, Australia; Heaney R., University of Western Australia, Australia</t>
  </si>
  <si>
    <t>Australia faces numerous and complex housing policy challenges. The waiting lists for social and affordable housing are long (and a significant proportion of the social housing stock is no longer fit-for-purpose), large proportions of the population are in housing stress and too many people are experiencing homelessness. At a time of diminishing resources, new and scalable solutions are required to address these challenges. • Social impact investment (SII) is one innovative and growing mechanism for funding solutions to complex social problems. SIIs are investments intending to generate social and financial returns, while actively measuring both (SIIT 2014a; GIIN 2016). SIIs aim to bring together government, philanthropic and mainstream capital, and cross-sector capability to help address social problems. • SII has gained renewed interest from individuals (philanthropists, social investors), institutions (foundations), policy-makers, and increasingly, mainstream financial markets (asset managers) in the United States (US), the United Kingdom, Canada, Australia and other developed economies seeking to address a broad range of social issues, including housing and homelessness. • Government has a key enabling role in developing the SII market for housing and homelessness in Australia, controlling many of the levers that could remove barriers for other actors in the system, as well as many of the levers in the broader housing market that influence both the size and shape of the housing affordability challenge. • For both social and affordable housing there exists a significant financing gap (exacerbated by current housing market conditions in Australia), and government has a critical role in filling it if it wishes to engage the investment community in collaborating and contributing to solutions. • SII presents significant opportunities to contribute to housing and homelessness outcomes in Australia, but it is not a panacea. It will not be the most appropriate nor the most effective solution in all cases. Further, where SII does have a role to play, in many cases it will need to be implemented alongside other funding solutions and policy interventions.  © Australian Housing and Urban Research Institute Limited 2017.</t>
  </si>
  <si>
    <t>Lee C.L.; Reed R.G.</t>
  </si>
  <si>
    <t>Lee, Chyi Lin (56411159900); Reed, Richard G. (7401921245)</t>
  </si>
  <si>
    <t>The Relationship between Housing Market Intervention for First-Time Buyers and House Price Volatility</t>
  </si>
  <si>
    <t>10.1080/02673037.2014.927420</t>
  </si>
  <si>
    <r>
      <rPr>
        <u/>
        <sz val="10"/>
        <color rgb="FF000000"/>
        <rFont val="Helvetica Neue"/>
      </rPr>
      <t>https://www.scopus.com/inward/record.uri?eid=2-s2.0-84911987826&amp;doi=10.1080%2f02673037.2014.927420&amp;partnerID=40&amp;md5=eb010170c19dbcf7fc671e313489fe26</t>
    </r>
  </si>
  <si>
    <t>School of Business, University of Western Sydney, Penrith, NSW, Australia; Deakin University, Burwood, VIC, Australia</t>
  </si>
  <si>
    <t>Lee C.L., School of Business, University of Western Sydney, Penrith, NSW, Australia; Reed R.G., Deakin University, Burwood, VIC, Australia</t>
  </si>
  <si>
    <t>Declining homeownership rates as observed in many western countries have direct and indirect implications for the broader economy; hence, governments have been seeking an effective solution to address this decline. One of the major challenges is the decline in overall homeownership rates with an increasing proportion of households deciding to rent rather than purchase. However, it is surprising that the impact on the housing market following the introduction of a first-time housing subsidy scheme has received relatively little attention. This study addresses this knowledge gap by examining the relationship between (1) housing market intervention based on first-time owner subsidies in a global city and (2) the level of house price volatility in the broader market. For example, the Australian government has implemented different policies designed to ease housing stress among first-time buyers; one high-profile policy was the First-time buyer Grant or First Home Owner Grant (FHOG) in which a cash payment or subsidy is given to new first-time buyers as a direct incentive. Based on a case study approach, an analysis is undertaken of the first-time buyer policy where an innovative approach using the E-GARCH model is employed to assess the effect of the scheme on the housing market. The findings indicated that the FHOG scheme offered a stabilisation effect on the housing market. In addition, there is evidence to support implementation of the FHOG scheme as an effective scheme to enhance housing affordability of first-time buyers. The findings offer a rare insight into the effectiveness of the FHOG scheme in enhancing housing affordability and also maintaining price stabilisation in the broader housing market.</t>
  </si>
  <si>
    <t>affordability; First-time owner grant; house prices; housing policy; volatility</t>
  </si>
  <si>
    <t>AUSTRALIA; AFFORDABLE HOUSING; HOMEOWNERSHIP; HOUSING MARKET; HOUSING POLICY; NUMERICAL MODEL; PRICE DYNAMICS; SUBSIDY SYSTEM</t>
  </si>
  <si>
    <t>Krysovatyy I.</t>
  </si>
  <si>
    <t>Krysovatyy, Ihor</t>
  </si>
  <si>
    <t>The role of innovation parks in shaping modern urban landscapes: a socio-economic and environmental perspective</t>
  </si>
  <si>
    <t>AMAZONIA INVESTIGA</t>
  </si>
  <si>
    <t>10.34069/AI/2024.83.11.5</t>
  </si>
  <si>
    <t>Ministry of Education &amp; Science of Ukraine; West Ukrainian National University</t>
  </si>
  <si>
    <t>Krysovatyy I., West Ukrainian Natl Univ, Dept Entrepreneurship &amp; Trade, Ternopol, Ukraine</t>
  </si>
  <si>
    <t>Policies and the creation of innovation parks have become a major global phenomenon significantly influencing the economic, societal, and ecological environments of urban centers. However, problems of housing accessibility or social equity in innovation park development are still underdeveloped in the literature. To pursue this research objective, this article integrates systematic, comparative, and critical analyses concerning the socio-economic and environmental effects of innovation parks on urban infrastructure. Studies show that innovation parks can decrease CO2 emissions by 25 % in Europe and 15 % in Ukraine by introducing new approaches to using renewable energy and utilizing the green zones of innovation parks. In the economic perspective, they promote growth by bringing investments that are almost 10 billion across Europe and contributing to creating more than 5,000 startups. On the social level, innovation parks enhance the policy of social inclusion and help create favorable conditions for the growth of small and mediumsized enterprises; however, such positive trends as an increase in housing costs (for instance, in Europe, housing costs have increased by 15% per five years) require a differentiated and effective policy. Implication for practice in integrating innovation parks with social equality and housing affordability is presented in the study. Future research should approve research on effective strategies for implementing social programs targeting different population types and understand the significant global environmental impacts of innovation parks.</t>
  </si>
  <si>
    <t>Innovative entrepreneurship; innovation parks; digital transformation; urbanism; international business; competitiveness; digitalization</t>
  </si>
  <si>
    <t>Editorial Primmate</t>
  </si>
  <si>
    <t>AMAZON. INVESTIG.</t>
  </si>
  <si>
    <t>Tually S.; Slatter M.; Oakley S.; Faulkner D.</t>
  </si>
  <si>
    <t>Tually, Selina (25723823900); Slatter, Michele (55150862400); Oakley, Susan (10045652500); Faulkner, Debbie (55150847600)</t>
  </si>
  <si>
    <t>The role of private rental support programs in housing outcomes for vulnerable Australians</t>
  </si>
  <si>
    <t>AHURI POSITIONING PAPER</t>
  </si>
  <si>
    <r>
      <rPr>
        <u/>
        <sz val="10"/>
        <color rgb="FF000000"/>
        <rFont val="Helvetica Neue"/>
      </rPr>
      <t>https://www.scopus.com/inward/record.uri?eid=2-s2.0-84924965646&amp;partnerID=40&amp;md5=9a3a686c8dce2cbf3d09c03fb71cb28e</t>
    </r>
  </si>
  <si>
    <t>University of Adelaide, Australia</t>
  </si>
  <si>
    <t>Tually S., University of Adelaide, Australia; Slatter M., University of Adelaide, Australia; Oakley S., University of Adelaide, Australia; Faulkner D., University of Adelaide, Australia</t>
  </si>
  <si>
    <t>In the last two decades Australia's rental landscape has been redrawn. As social housing has become focussed on those most in need, and home ownership has become less affordable, the private rental market has become increasingly important. Many households of low or moderate means, as well as households with other vulnerabilities, must now look to the private rental sector for housing over the long term. A range of programs has emerged to assist tenants who might struggle to access or sustain a private rental tenancy. The range includes 'brokerage' programs, the principal focus of this research. Although 'brokerage' is a term frequently used within the housing sector, its meaning has not been explored, nor have the implications of brokerage programs been fully investigated. The programs are not currently captured by any standardised national reporting process, which renders them largely invisible to analysts, except at the most local level. This clearly limits their capacity to inform policy, practice and professional development nationally, despite anecdotal accounts of innovation and success. By exploring their design, impact, outcomes, costs and benefits to tenants, agencies and other partners (e.g. real estate agencies), this research will significantly advance understanding of the relationships between programs presently designed to support successful housing outcomes in the private rental market for some of Australia's most vulnerable households. For many, lower cost private rental has become their default tenure. Accordingly, private rental can no longer be characterised as merely a temporary or transitional tenure between significant life events. While there is evidence of some modest growth in supply, the changing pattern of demand ensures that access to lower cost private rental is extremely competitive. Many tenants also find great difficulty in sustaining tenancies; housing stress is widespread in the sector and is most intense within lower cost submarkets. In addition, legislation currently ensures that the private rental market is inherently precarious, even for the most capable tenants. Research has highlighted the increased risk of tenancy failure faced by vulnerable groups including Indigenous tenants, people escaping domestic violence, humanitarian arrivals, people living with a disability, youth and older Australians. The discussion in Chapter 2 specifically reviews the factors that are re-shaping the private rental sector and highlights in particular their implications for vulnerable households seeking long-term accommodation in low-cost private rental. The fact that the private sector now has to accommodate a greater number and proportion of vulnerable households than has been the case in the past has seen governments and the not-for-profit sector develop and evolve a range of supports to encourage successful private tenancies and thus act preventively to avoid homelessness. These supports are designed to assist households who experience problems in accessing and/or sustaining a private tenancy. In this research we term such programs collectively Private Rental Support Programs or Private Rental Supports. This portmanteau term includes the key assistance measures delivered by the Australian Government and state and territory governments under the National Affordable Housing Agreement (NAHA), as well as a range of less-examined programs delivered by state/territory governments or, more usually, by the not-for-profit sector. These supports include:Commonwealth Rent Assistance. Supports referred to by governments as Private Rent Assistance measures. The National Rental Affordability Scheme. Other quasi- or non-government programs delivered by the not-for-profit sector. This research surveys the range of assistance measures provided under the banner of Private Rental Supports. Chapter 3 provides this overview, sketching the context for the principal subject of the study: a focussed examination of Private Rental Brokerage Programs (PRBPs), a significant component of the fourth category above. PRBPs are a little examined and poorly understood assistance measure. Accordingly as a starting point for investigation of these programs, this research provides a working definition of such programs, positing that: Private Rental Brokerage Programs are a flexible, early-intervention housing assistance measure designed to support vulnerable households as successful tenants in the private rental market, thereby avoiding eviction and homelessness. To achieve this such programs work with clients to optimise their success in accessing and sustaining private rental tenancies. This work may involve building tenancy capacity, helping access financial or material assistance, connecting with other relevant services, providing a degree of ongoing support or otherwise as the individual case and resources require. There is no uniform reporting framework that defines PRBPs or captures comprehensive data on their incidence and outcomes. As a consequence they have been somewhat overlooked: the extent of their total contribution is difficult to gauge and they have been under-researched. Anecdotal evidence nevertheless indicates widespread recognition of brokerage programs within the sector and suggests they are proliferating. Brokerage resonates with current policies shaping the delivery of a range of social services. A shift in the relationship between institutions and individual agency (Beck 2001) has precipitated a rapid reformulation of service design and delivery in emerging approaches to social care and accountability currently favoured by policy Vmakers in several Western countries. In Australia, brokerage support is not confined to the private rental sector. Examples of brokerage models of support are emerging in a number of different contexts, including as part of the National Disability Insurance Scheme (NDIS) and current aged sector reforms such as the move to a Consumer Directed Care (CDC) model. Chapter 4 outlines current understandings of brokerage programs in Australia and internationally. These indicate that in the Australian housing sector brokerage programs have emerged over recent years in order to more fully support the needs of struggling tenants in the housing market. The limited literature on them suggests that brokerage is considered a useful, flexible, means to support vulnerable tenants in avoiding homelessness or re-engaging with the housing market after periods of housing instability and consequent social exclusion. However, it also indicates that the term has been used to cover a variety of somewhat diverse services. Current trends in policy and service delivery already seen in other areas of social services may encourage a more uniform understanding in future. Chapter 4 proposes a tentative working definition of brokerage in the housing context that can be explored and tested in the second, empirical, part of the research. This Positioning Paper is the first output of a study designed to shed light on the present role of brokerage programs and their role in the private rental housing market. The study will address five core research questions: What are PRBPs, and what are their roles and features nationally and internationally? Do PRBPs consistently assist vulnerable Australians to access private rental and if so, how? Do private rental brokerage programs contribute efficiently and effectively to clients successfully maintaining private rental tenancies? Is there any evidence that PRBPs improve clients' tenancy capability and competitiveness in the long term and/or achieve other social inclusion outcomes? How do PRBPs dovetail with broader Private Rental Supports to affect housing outcomes for vulnerable Australians? The Positioning Paper presents the results of the first stage of the research, setting the context for the research by drawing together our initial findings about private rental supports in Australia generally (and internationally, where relevant), and PRBPs specifically. These findings are drawn from a desk-based review of the scant relevant grey and academic literature. The next phase of this project will utilise a conventional mix of social science research methods as outlined in Chapter 5 to meet the project aim of investigating the role of PRBPs in supporting vulnerable Australians to successfully access and sustain housing in the private rental market. The study will apply a mixed method approach, collecting quantitative and qualitative data from statistical reports, interview/focus groups, stakeholder forums and texts. The research methods chosen have been carefully designed to answer the five core research questions. They will deliver a fine-grained understanding of the structure and purpose of private rental brokerage programs, the detail of their operation, the outcomes achieved and the client groups whom they assist. They will also illuminate the impact of changing market conditions on the need for, and effectiveness of, such programs. In this way the project aims to fill a strategic gap in current knowledge. It will capture and reflect the complex pattern of brokerage assistance which exists to support vulnerable Australian households in accessing and sustaining private rental housing, avoiding homelessness and reducing pressure on social housing. The project will also investigate any benefits to be achieved by the modification, extension, expansion or standardisation of brokerage programs within the suite of Private Rental Support Programs available across Australia. An understanding of their design, their strengths and any weaknesses is particularly timely in light of the changing role and composition of the private rental market (Stone et al. 2013) and the tide of policy change that will likely see brokerage playing an increasingly prominent role across the social services.</t>
  </si>
  <si>
    <t>AHURI Positioning Pap.</t>
  </si>
  <si>
    <t>Bondio S.; Shahnazari M.; McHugh A.</t>
  </si>
  <si>
    <t>Bondio, Steven (57202416497); Shahnazari, Mahdi (56007996300); McHugh, Adam (55948290900)</t>
  </si>
  <si>
    <t>The technology of the middle class: Understanding the fulfilment of adoption intentions in Queensland's rapid uptake residential solar photovoltaics market</t>
  </si>
  <si>
    <t>RENEWABLE AND SUSTAINABLE ENERGY REVIEWS</t>
  </si>
  <si>
    <t>10.1016/j.rser.2018.05.035</t>
  </si>
  <si>
    <r>
      <rPr>
        <u/>
        <sz val="10"/>
        <color rgb="FF000000"/>
        <rFont val="Helvetica Neue"/>
      </rPr>
      <t>https://www.scopus.com/inward/record.uri?eid=2-s2.0-85048276685&amp;doi=10.1016%2fj.rser.2018.05.035&amp;partnerID=40&amp;md5=c962b5cc9a49a09be30a0f6081264d05</t>
    </r>
  </si>
  <si>
    <t>School of Energy and Resources, University College London, Adelaide, 5000, South Australia, Australia; Future Energy, Aurecon, Brisbane, 4000, Queensland, Australia; Infrastructure Advisory, Ernst &amp; Young, Perth, 6000, Western Australia, Australia; School of Engineering and Information Technology, Murdoch University, Perth, 6150, Western Australia, Australia</t>
  </si>
  <si>
    <t>Bondio S., School of Energy and Resources, University College London, Adelaide, 5000, South Australia, Australia, Future Energy, Aurecon, Brisbane, 4000, Queensland, Australia; Shahnazari M., School of Energy and Resources, University College London, Adelaide, 5000, South Australia, Australia; McHugh A., Infrastructure Advisory, Ernst &amp; Young, Perth, 6000, Western Australia, Australia, School of Engineering and Information Technology, Murdoch University, Perth, 6150, Western Australia, Australia</t>
  </si>
  <si>
    <t>Residential solar photovoltaics (PV), a once niche technology reliant on direct regulatory support to stimulate its adoption, has progressively become more competitive because of economies of learning and scale in production. Given its extraordinary market growth, a better understanding of the various market and social factors affecting residential consumers’ PV purchasing decisions is required for policy makers to create efficient support mechanisms, by industry participants to better target marketing activities, and for more informed planning of centralised electricity generation and network infrastructure development. This paper reports on an analysis of the behavioural drivers of households as decision-making units fulfilling an intention to adopt PV. Drawing upon Rogers’ diffusion of innovation theory and using a logistic regression choice model, the actual outcomes of the residential PV market are examined in the state of Queensland, Australia. A recent survey of more than 8000 households is used to investigate the difference in demographic and motivational factors among households with the stated intention to purchase PV with those that have already adopted the technology. Our findings suggest that PV is the technology of the middle class. This reasoning is made based on surveyees’ stated concerns over rising electricity bills and survey data which indicates that economic life events have a significant influence over perceptions of affordability. Households need to be concerned with rising electricity bills to be motivated to adopt PV, but must also have access to sufficient capital to afford its upfront cost. Familiarity with the technology appeared to reduce adoption motivations based on self-sufficiency and intentions to go off grid. © 2018 Elsevier Ltd</t>
  </si>
  <si>
    <t>Adoption intention; Households choice; Logistic regression; Motivational factors; Solar photovoltaic</t>
  </si>
  <si>
    <t>BEHAVIORAL RESEARCH; COMMERCE; DECISION MAKING; ECONOMIC AND SOCIAL EFFECTS; ENGINEERING EDUCATION; HOUSING; REGRESSION ANALYSIS; SOLAR CONCENTRATORS; SOLAR POWER GENERATION; ADOPTION INTENTION; ELECTRICITY BILL; HOUSEHOLD CHOICE; LOGISTICS REGRESSIONS; MIDDLE CLASS; MOTIVATIONAL FACTOR; PHOTOVOLTAIC MARKETS; PHOTOVOLTAICS; QUEENSLAND; SOLAR PHOTOVOLTAICS; SURVEYS</t>
  </si>
  <si>
    <t>Renewable Sustainable Energy Rev</t>
  </si>
  <si>
    <t>Bosman C.</t>
  </si>
  <si>
    <t>Bosman, Caryl (23097372400)</t>
  </si>
  <si>
    <t>Then, now and tomorrow: Housing for an ageing population</t>
  </si>
  <si>
    <t>7TH AUSTRALASIAN HOUSING RESEARCHERS' CONFERENCE, AHRC 2013: REFEREED PROCEEDINGS</t>
  </si>
  <si>
    <r>
      <rPr>
        <u/>
        <sz val="10"/>
        <color rgb="FF000000"/>
        <rFont val="Helvetica Neue"/>
      </rPr>
      <t>https://www.scopus.com/inward/record.uri?eid=2-s2.0-84915746006&amp;partnerID=40&amp;md5=f3f344e9e082783a4cce262e4a0e1a87</t>
    </r>
  </si>
  <si>
    <t>Griffith University, Australia</t>
  </si>
  <si>
    <t>Bosman C., Griffith University, Australia</t>
  </si>
  <si>
    <t>The housing histories of many Australian boomers will influence their housing choices as they move into the second decade of the 20 Century. Most Retirement Village providers acknowledge that new housing models are required to cater for the aspirations, needs and requirements of the boomer generation as they get older. In addition, climate change and concerns around sustainable living patterns are gaining prominence. The key to future boomer housing is the provision of sustainable and affordable housing landscapes that promote the health and wellbeing of residents for the duration of their life. This paper focuses on Gold Coast housing landscapes, a current hot spot for retirement living, where a number of innovative boomer housing projects are currently being developed. Research will map past and current boomer housing trajectories and ask what of tomorrow's housing landscapes and what can be learned from past housing practices? And in particular with regard to the health and wellbeing of residents, housing affordability and sustainability. To this end a comparative analysis is undertaken between existing 1980s suburban development (the Then' of our story) and more recent development in the mid 2000s (the 'Now' of our story). The aim of this analysis is to identify factors that foster healthy ageing of residents and position these at the centre of calls for sustainable and affordable boomer housing landscapes for tomorrow. This research is significant because it contributes to the growing body of knowledge around housing for an ageing population. There is an urgent need for policies to reflect and support these emerging housing landscapes and this paper will go some way to inform decision making processes.</t>
  </si>
  <si>
    <t>Active adult lifestyle communities; Healthy ageing; Suburbia</t>
  </si>
  <si>
    <t>CLIMATE CHANGE; DECISION MAKING; AFFORDABLE HOUSING; AGEING POPULATION; COMPARATIVE ANALYSIS; DECISION MAKING PROCESS; HEALTHY AGEING; HOUSING AFFORDABILITY; SUBURBAN DEVELOPMENT; SUBURBIA; HOUSING</t>
  </si>
  <si>
    <t>Australas. Hous. Res. Conf., AHRC: Refereed Proc.</t>
  </si>
  <si>
    <t>Galster G.C.</t>
  </si>
  <si>
    <t>Galster, George C.</t>
  </si>
  <si>
    <t>U. S. Housing Scholarship, Planning, and Policy Since 1968 An Introduction to the Special Issue</t>
  </si>
  <si>
    <t>10.1080/01944360701792231</t>
  </si>
  <si>
    <t>Wayne State University</t>
  </si>
  <si>
    <t>Galster G. C., Wayne State Univ, Urban Affairs Dept Geog &amp; Urban Planning, Detroit, MI 48202 USA</t>
  </si>
  <si>
    <t>Problem: How have the main themes of housing scholarship, planning, and policy evolved since 1968, and how do they inform current scholarship? Purpose: This introduction explores how housing issues have changed over the last 40 years, to provide a holistic context for this special issue on the future(s) of housing. Methods: I review secondary sources, and draw on them to synthesize the important themes that shape housing policy and this special issue. Results and conclusions: Increasing owner-occupied housing is still the primary housing goal, as it was 40 years ago, but recent innovations in mortgage finance that appeared to move it nearer may have backfired. How scholars and policy and planning professionals view the housing problem for lower-income households has evolved from simple housing quantity and quality inadequacies to something more complex: lack of affordability and homelessness, inadequate coordination of existing programs, and housing as an obstacle to economic opportunity. Despite current federal indifference, improvements in legal infrastructure and enforcement capacity have reduced, but not eliminated, housing discrimination since 1968. Federal funding diminished for public and, later, private supply-side initiatives in rental housing, and federal funds now support demand-side initiatives, small amounts of public housing, and grants to support increasingly important and autonomous state, local, and nonprofit sector efforts. Takeaway for practice: The articles in this special issue recommend that planners and policymakers systematically assess the degree to which buildings promote and protect human health, and that they encourage innovation in housing construction, and age and economic diversity in residential areas. In existing neighborhoods that may be threatened by concentrated foreclosures or creeping blight, the authors in this issue encourage stimulating community reinvestment lending and preventing foreclosures. They also advocate improving the design and coordination of the increasingly diverse array of programs at various levels of government. Their recommendations build on the history of 40 years of housing scholarship and policy I summarize here.</t>
  </si>
  <si>
    <t>housing policy; history of housing; housing scholarship</t>
  </si>
  <si>
    <t>HOMEOWNERSHIP; EXPENDITURES; CHALLENGES; LESSONS; PROGRAM; MODEL</t>
  </si>
  <si>
    <t>AMER PLANNING ASSOC</t>
  </si>
  <si>
    <t>Amar J.H.N.; Armitage L.A.</t>
  </si>
  <si>
    <t>Amar, Johari Hussein Nassor (57194782604); Armitage, Lynne Audrey (54987556200)</t>
  </si>
  <si>
    <t>Understanding Barriers and Pathways for the Sustainable Implementation of Affordable Housing in Australia: The Case of the National Rental Affordability Scheme (NRAS)</t>
  </si>
  <si>
    <t>10.3390/buildings15030454</t>
  </si>
  <si>
    <r>
      <rPr>
        <u/>
        <sz val="10"/>
        <color rgb="FF000000"/>
        <rFont val="Helvetica Neue"/>
      </rPr>
      <t>https://www.scopus.com/inward/record.uri?eid=2-s2.0-85217574340&amp;doi=10.3390%2fbuildings15030454&amp;partnerID=40&amp;md5=bf2f60b908edad0c0da5ad1b20084c51</t>
    </r>
  </si>
  <si>
    <t>Sustainable Built Environment Research Group (SBERG), Faculty of Society and Design, Bond University, Robina, 4226, QLD, Australia</t>
  </si>
  <si>
    <t>Amar J.H.N., Sustainable Built Environment Research Group (SBERG), Faculty of Society and Design, Bond University, Robina, 4226, QLD, Australia; Armitage L.A., Sustainable Built Environment Research Group (SBERG), Faculty of Society and Design, Bond University, Robina, 4226, QLD, Australia</t>
  </si>
  <si>
    <t>Australia’s housing affordability crisis has deepened despite extensive policy intervention, with the private rental sector experiencing unprecedented pressure. This study proposes that affordable housing should guarantee low and moderate-income households their fundamental right to access secure and safe dwellings, enabling these households to meet essential needs and maintain quality of life without enduring housing stress. Despite significant public investment, a critical housing shortage persists across the nation with a need to build 640,000 homes annually. This crisis is exacerbated by ineffective public–private–community partnerships (PPCP) and the absence of a unified national housing policy. This study critically examines the NRAS to understand why market-based interventions have consistently fallen short of addressing housing affordability challenges. Through empirical analysis of 31 in-depth interviews with senior stakeholders across public, private and community sectors, this research identifies five systemic barriers: definitional inconsistencies in affordable housing policy; inflexible strategic frameworks; misaligned investment incentives; geographical inequities in resource allocation; and fragmented governance structures. The study introduces the Personal and Collective Will in Policy Implementation (PaCWiPI) framework as an innovative approach integrating Maslow’s Hierarchy of Needs with Henderson’s Poverty Line metrics. Our findings demonstrate that effective housing policy requires a fundamental shift from rigid, standardised approaches towards adaptive frameworks that are responsive to diverse market conditions. This research advances housing policy scholarship by providing empirical evidence of implementation barriers while offering practical recommendations for future initiatives, relevant to the current Housing Australia Future Fund and other regionally-related housing policies. © 2025 by the authors.</t>
  </si>
  <si>
    <t>affordable housing; Australia; demand and supply; housing continuum; housing policy; national housing strategy; NRAS; PaCWiPI; policy governance; private rental sector; public–private–community partnerships</t>
  </si>
  <si>
    <t>AFFORDABLE HOUSING; AUSTRALIA; COMMUNITY PARTNERSHIPS; DEMAND AND SUPPLY; HOUSING CONTINUUM; HOUSING POLICY; NATIONAL HOUSING STRATEGY; NATIONAL RENTAL AFFORDABILITY SCHEME; PERSONAL AND COLLECTIVE WILL IN POLICY IMPLEMENTATION; POLICY GOVERNANCE; POLICY IMPLEMENTATIONS; PRIVATE COMMUNITIES; PRIVATE RENTAL SECTOR; PUBLIC-PRIVATE; PUBLIC–PRIVATE–COMMUNITY PARTNERSHIP</t>
  </si>
  <si>
    <t>Buildings</t>
  </si>
  <si>
    <t>Milligan V.; Hulse K.; Davison G.; Australian Housing and Urban Research Institute; UNSW-UWS Research Centre; Swinburne-Monash Research Centre; UWA Research Centre</t>
  </si>
  <si>
    <t>Milligan, Vivienne (15062972200); Hulse, Kath (57203028562); Davison, Gethin (59021484500); Australian Housing and Urban Research Institute (56412963600); UNSW-UWS Research Centre (56413078400); Swinburne-Monash Research Centre (56416404100); UWA Research Centre (56412983100)</t>
  </si>
  <si>
    <t>Understanding leadership, strategy and organisational dynamics in the not-for-profit housing sector</t>
  </si>
  <si>
    <r>
      <rPr>
        <u/>
        <sz val="10"/>
        <color rgb="FF000000"/>
        <rFont val="Helvetica Neue"/>
      </rPr>
      <t>https://www.scopus.com/inward/record.uri?eid=2-s2.0-85116176722&amp;partnerID=40&amp;md5=a410bcfe28be835809707cb780ad6c55</t>
    </r>
  </si>
  <si>
    <t>University of New South Wales, Australia; Swinburne University of Technology, Australia</t>
  </si>
  <si>
    <t>Milligan V., University of New South Wales, Australia; Hulse K., Swinburne University of Technology, Australia; Davison G., University of New South Wales, Australia; Australian Housing and Urban Research Institute; UNSW-UWS Research Centre; Swinburne-Monash Research Centre; UWA Research Centre</t>
  </si>
  <si>
    <t>In recent years, the role of not-for-profit (NFP) organisations in the development, financing and delivery of social and affordable housing has been expanding in Australia, emulating international trends over the past two decades. This study is the first in Australia to examine strategic positioning and decision making among leading NFP housing providers (sometimes called third sector providers), from an organisational rather than housing policy perspective. Using a methodology that has been developed for similar studies of third sector organisations in other countries, the research provides an 'insider' perspective on how the organisations are responding to their opportunities and responsibilities as growing providers of a range of affordable housing options. The result of recent developments in this sector has been the first blush of a social enterprise model for the provision of affordable housing, combining the logic of business with a social mission to expand housing opportunities and choices for lower income households not being served by either the public sector or the private market. The research investigated how organisations develop a social enterprise model, reconciling social mission with commercial practice through what is sometimes called organisational hybridity (see Chapter 2). Research methods and coverage: The research used a modified Delphi survey methodology developed and applied to earlier studies of change and decision making in third sector housing organisations in England, Northern Ireland, Ireland and the Netherlands. Professor David Mullins (University of Birmingham), who first adapted the methodology to research organisational dynamics in this sector, has acted as a mentor for the study. The Delphi methodology is a way of exploring decision making and change through an iterative, multi-method approach. It seeks to harness the views of a panel of experts on specific issues, using a combination of scaled survey questions and qualitative interviews. In-depth discussions with each panel member are used to elicit perspectives on the aggregate results of the survey concerning the issues and challenges facing their sector as a whole, as well as to tease out their individual positioning on these matters. This is intended as a way of discerning not only shared but also divergent views within the sector. Sampling of housing NFPs for this study was restricted to those organisations in Australia that were exhibiting hybridity and social enterprise (see Chapter 2) and had been established for at least three years. These were organisations that had relatively large operations (in the Australian context) involving housing development and investment, and tenancy and property management. The chief executive officers (CEOs) of 14 organisations (of an estimated population of around 30 larger, diversified organisations) were approached and all agreed to participate, and comprised the panel of experts for the study. Collectively, the 14 organisations owned or managed over 22 000 dwellings, just under a half of those held in the total sector in 2010 (AIHW 2011). They owned assets (mainly dwellings) valued at $2.6 billion against which they held liabilities of $764 million (mostly loans secured against properties), and their combined annual rent revenue (their main income source) amounted to $132 million in 2010-11 (see Chapter 1, Tables 1 and 2). All had experienced rapid growth in their resources and business scale over the last three years, through a variety of strategies, which were explored in detail in the research. The research findings presented in Chapters 3 to 6 are based on an analysis of the survey of the sampled organisations, information gathered in interviews, including verbatim quotations from panel members, and other documentary evidence concerning the organisations studied and the policy and regulatory environment in which they operate. This analysis explored five key themes: 1. The key external environmental factors that have driven recent changes in organisations (Chapter 3). 2. The views of CEOs about key values of their organisations and how these have influenced their decision making (Chapter 3). 3. Changes in strategic positioning over the last three years (Chapter 4). 4. Changes in governance, structure, capacity and culture that have resulted from expansion and business development over the last three years (Chapter 5). 5. The most important strategic decisions that are facing organisations over the next five years and their potential significance (Chapter 6). Key findings under each of these themes are summarised below. Research findings: External drivers: Developments in housing policy, funding and regulatory environments have been the main drivers of recent opportunities for Australia's housing third sector to up-scale, commercialise and diversify. The most significant government-led changes that have driven expansion have included the Australian Government's Social Housing Initiative (SHI) and the joint Australian and state government National Rental Affordability Scheme (NRAS). Other recent housing policy changes and requirements of governments have included (to a varying extent across jurisdictions) new specialised regulatory arrangements applying to NFP housing providers, transfers of increasing numbers of former government owned and/or managed stock to this sector in return for leveraging the resources (cash flows and security) that come with such transfers, and a range of other policy changes that have been favourable to the sector, especially restructuring of social housing rents to capture Commonwealth Rent Assistance to improve rent revenue. Over the three years preceding the research (2008/09-2011/12), housing and finance market conditions had a mixed influence on the business operations of organisations in the sample. While land and construction costs remain high in Australia and conditions for lending into the sector had deteriorated since the global financial crisis (GFC), overall the post-GFC market environment and government stimulus had improved the competitiveness of these NFPs and had helped them to generate new relationships with private sector organisations, especially bank lenders and development partners. The last three years have also seen renewed interest at the national level in the future role, shape and efficiency of the wider third sector in Australia, particularly as a key contributor to the Australian government's agenda to promote social inclusion. Reforms broadly aimed at streamlining regulatory and taxation settings applying to the sector, improving governance and accountability, and channelling capital investment into the sector have been under consideration. While there are expectations that many positive changes may result, continuing uncertainty associated with the process of reform has made future planning in the sector more difficult and added to risk associated with taking on new business ventures. Organisational values: In discussions with panel members about the values underpinning their organisations, claims to social purpose emerged as a very strong internal driver of decision making and strategic positioning for all organisations. Organisations in the sample were founded to provide social housing and other welfare services to very low income households, the homeless and those with special needs, largely by utilising government funds. The study found interesting differences in the views of the panellists about how social mission is best achieved as organisations adopted more commercial practices. While some expressed a view that social purpose should never be compromised by business drivers, others appeared to have a greater appetite to innovate and take on business risks to advance social goals, emphasising that having a business ethos was critical to optimising social outcomes.Other values widely acknowledged as important attributes of modern third sector organisations were largely shared across panel members. These included having a professional approach, being entrepreneurial, being geographically diverse (to a varying extent among this sample), having the means to set one's own priorities and adopting a private sector ethos. Strategic positioning: Major shifts in strategic positioning over the last three years (Chapter 4) centre on organisations: →Broadening their service remit to include both low and moderate income households. →Acquiring and using property assets to develop their businesses. →Securing larger tranches of private finance for housing development. →Extending the geographic area of their operations across regions, state borders or nationally. Whilst these were general trends, there were clear differences in how organisations currently operated. For instance, there were differences in the extent to which they were prepared to enter into more commercial activities-such as mixed tenure developments, higher rental products, market sales, for-profit activities and asset realisation-to seek out financial return and drive their business expansion. At one end of the spectrum, some organisations had already leveraged assets to a considerable extent and had trialled cross-subsidy approaches, mixed tenure projects and partnering with the private sector with the overall aim of generating more housing for low income groups as well as providing services to current residents. In the foreseeable future they were planning to pursue a wide range of activities for both low and moderate income households, subject to financial feasibility. Others were more cautious about, or constrained in pursuing, additional activities and expansion, such as higher-cost rental products and operating in additional locations. © 2013, Australian Housing and Urban Research Institute. All rights reserved.</t>
  </si>
  <si>
    <t>Housing; Leadership; Not-for-profit; Organisational dynamics; Strategy</t>
  </si>
  <si>
    <t>Sharam A.; Moran M.; Mason C.; Stone W.; Findlay S.</t>
  </si>
  <si>
    <t>Sharam, Andrea (55636751300); Moran, Michael (55605189300); Mason, Chris (36847335000); Stone, Wendy (14067850100); Findlay, Suzanne (57204757143)</t>
  </si>
  <si>
    <t>Understanding opportunities for social impact investment in the development of affordable housing</t>
  </si>
  <si>
    <t>10.18408/ahuri-5310202</t>
  </si>
  <si>
    <r>
      <rPr>
        <u/>
        <sz val="10"/>
        <color rgb="FF000000"/>
        <rFont val="Helvetica Neue"/>
      </rPr>
      <t>https://www.scopus.com/inward/record.uri?eid=2-s2.0-85071732575&amp;doi=10.18408%2fahuri-5310202&amp;partnerID=40&amp;md5=7b036cfa94f89939067a65542c1d7b23</t>
    </r>
  </si>
  <si>
    <t>Sharam A., RMIT University, Australia; Moran M., Swinburne University of Technology, Australia; Mason C., Swinburne University of Technology, Australia; Stone W., Swinburne University of Technology, Australia; Findlay S., Swinburne University of Technology, Australia</t>
  </si>
  <si>
    <t>Key findings This is the first study examining the opportunities for, barriers to, and risks for SII in the development of affordable housing in Australia. It considers both social housing and affordable housing supply. Social impact investment (SII) SIIs are those that intentionally target specific social objectives along with a financial return and measure the achievement of both (SIIT 2014a: 2). SII funds can be placed directly by investors or through intermediaries who specialise (sometimes exclusively) in placing SII funds. Intermediaries often, but not always, pool funds. Intermediaries take responsibility for measuring and reporting of impact. The return expectations and assets classes can differ: investors willing to accept concessionary returns (i.e. a below market return) are considered 'impact-first' investors while those requiring non-concessionary returns equal or near equal to market are considered to be 'finance-first' investors (Brest and Born 2013). Deals can be complex, involving other SI investors, concessionary and non-concessionary investment, non-SI investors and philanthropic and other grants. Such deals are termed 'layered' investments. Investment can involve debt, equity or both. The SI investors Westpac Banking Corporation, Community Sector Banking and Bank Australia are the largest SI investors in social and affordable housing in Australia, by virtue of lending to CHPs. Westpac has $1.05 billion invested in the CHP sector (Westpac 2016). Total bank SII in the CHP sector is possibly as much as $1.5 billion at present. This investment is all debt investment. Returns are non-concessionary. Historically, access to capital has been difficult for CHPs and investment has required reconsideration of risk and a shift in credit assessment. This change may or may not have been led by SI investors (further research would be required to answer this question). The participation of bank SI investors however adds competition ensuring all CHPs gain more competitively priced capital and more suitable conditions on finance. Given the concentration of the Australian banking sector (Bryant 2012) this competition is important. This bank SII therefore could be said to be providing 'additionality'. A far smaller $20 million is invested in housing models outside of the registered CHP sector, by non-bank SI investors. These include the Lord Mayors Charitable Foundation (LMCF) who provided $3 million to the Affordable Housing Loan Fund (AHLF), small superannuation funds, high net worth individuals (HNWI), other individuals, philanthropy, self-managed superannuation funds (SMSF), and not-for-profit (NFP) organisations. This $20 million is equal parts debt and equity investment. The equity investors in these models were the only investors to accept concessionary returns. They were supporting innovative models that have the potential for systemic change rather than simply providing housing. Intermediaries Three intermediaries, Foresters Community Finance (FCF), Social Enterprise Finance Australia (SEFA) and Social Ventures Australia (SVA) are currently responsible for the placement of the majority of non-bank SII in social/affordable housing in Australia. These intermediaries have attracted funds from HNWI, NAB, Triodos Bank, Community Sector Banking, Christian Super, HESTA, and the NSW Aboriginal Land Council. These intermediaries are highly respected. All three funds were established following an Australian Government initiative, the Social Enterprise Development and Investment Funds (SEDIFs) that provided $20 million in matched funding. Christian Super recently established its own intermediary, Bright Light. Demand side for investment CHPs are the largest source of demand for funds and represent the only established system of social and affordable housing provision that comprises an at-scale opportunity for expanded SII, which meets the requirements for verifiable impact over time. The opportunity for SII is limited however by CHP sector constraints (issues well documented, see Milligan, Hulse, et al. 2013; Milligan, Pawson et al. 2017) including limited free cash flow (to support borrowings), uncertain tenant housing assistance and income support, and reduced discretion over tenant allocation. Government policy change is viewed as a key source of risk affecting investment (current and future). Two other models were able to access mainstream finance but were not part of the CHP sector. There were a number of organisations currently outside the CHP sector unable to access mainstream lending. These projects span income cohorts-from households eligible for public housing to middle income households-and provide both rental and home ownership opportunities. These non-CHP models expressed dissatisfaction with the existing CHP model and with market provision. A new SII typology SII in Australia does not fit the simple impact-first versus finance-first investment typology found in the literature. Investor reconceptualisation of risk and modification of lending practices occurred in addition to consideration of return requirements. This was not a case of accepting greater risk but rather of reviewing the generally accepted credit assessment practice. Figure 1 describes this new Australian SII typology, which adds whether the investor adopted an orthodox or 'reformed' approach to credit assessment in addition to their approach to returns. Using this new typology, we find that most SII in Australia can be described as partial finance-first, reflecting a combination of non-concessionary returns and modified investment parameters. A far smaller proportion of SII is full impact-first, in that concessionary returns were acceptable and investment parameters were modified. We found no fully finance-first or partial impact-first investment. Barriers and opportunities The CHP sector is the target of most SII, and most existing and potential SI investors wish to see the sector greatly expanded. Government capital grants are regarded as necessary to grow the sector and enable SII at a greater scale. Investment is currently constrained by the lack of CHP free cash flow, rather than lack of collateral required for security. Adverse changes to welfare and housing assistance, and government policy restricting housing allocations to the highest priority applicants on public housing waiting lists were identified as affecting CHP cash flow and as such presenting a risk to investment. Policy development options SII in social and affordable housing reflects government investment. As private investment, there is an expectation of returns on investment. Investment therefore only occurs when the housing organisation is able to generate a positive cash flow to support debt repayment or disbursements to equity holders. This requires the gap between tenant's capacity to pay and the cost of housing provision to be funded by government. The funding of this gap provides an implicit government guarantee. In the Australian context, this requires: • An annual funding stream for CHPs to close the gap between rental revenues and cost of provision. • State and territory governments to permit CHPs discretion in who they house so that investor confidence can be maintained (in the absence of a funding stream to meet the gap between rental revenues and cost of provision). • An annual capital grants program for CHPs to grow the sector. • Growth of the sector to create the conditions for bond financing-bonds lower the cost of capital and provide for long tenure debt. • Welfare entitlements and housing assistance to provide sufficient income to all household types to ensure the most vulnerable households will be attractive to house. Social security entitlements need to be stable in order to provide confidence to investors regarding their existing investments as well as future investments. Housing supply bonds were viewed as a key opportunity for reducing the cost of capital and enabling long tenure debt. Land is a critical issue affecting affordability of housing and access to employment and services by vulnerable households. • Government are frequently owners of well-located land that is surplus to their requirements. Governments could grant such surplus government land to CHPs (as is envisaged by part 21(k) of the National Affordable Housing Agreement (NAHA)). • Inclusionary zoning could be implemented to provide a new source of social and affordable housing on existing redevelopment sites. Inclusionary zoning would provide the opportunity for layered investment models, common in the US. • Governments could consider capturing the uplift in value when re-zoning land, through making part of rezoned sites available to CHPs or other NFP housing providers. SII in new home ownership models is able to generate affordable housing supply for both low-income and intermediate income cohorts. The growth of some of these models could be assisted through: • Government guarantees to permit debt financing and negate the need for substantial equity contributions. • Revolving funds to provide equity to development projects. The equity would be returned once mortgage loans are issued. The market price of housing for purchase is affected by many factors. However, there has been little scrutiny of the development process and particularly of multi-unit residential development. Profit margins in this sector are high, suggesting competition is less effective than it could be. There is a need for policy-makers to gain a detailed understanding of residential property development and possible industry reforms to improve efficiency. SII would be assisted by: • As fiduciary duties of superannuation fund managers appear to be open to interpretation, government could review this aspect of superannuation fund management to provide legal clarity for concessionary SII. The study This report presents findings from a research project conducted as part of a broader AHURI Inquiry into social impact investment for housing and homelessness outcomes (Muir, Findlay et al. forthcoming). The purpose of this research is to investigate what contribution SII can make to increasing the supply of affordable housing through providing a detailed analysis of: i) SII in affordable housing internationally and in Australia, ii) opportunities and risks for SII in Australia, iii) barriers to investment, iv) potential for innovation and v) measures government and other parties can take to encourage investment. To date there has been no review of SII in the development of social and affordable housing in Australia. While SII is increasingly of interest in relation to homelessness and housing vulnerability, its application to housing supply has not attracted the same kind of policy attention, despite international and Australian examples. Little therefore is known of investments, the quantum of investment, who the investors are, their motivations or the impact arising from their investment. The registered CHP sector is often presumed to constitute the demand for SII funds. Intermediaries have been established, and many are keen to funnel SII into housing. Much of the advocacy for SII has centred on superannuation funds and on housing supply bonds as a means to attract superannuation funds with CHPs. It is a discussion that reflects a deep concern about the lack of affordable housing stock and mounting frustration at the lack of opportunities for investment. In order to appreciate the implications of private investment including SII, in the supply of social and affordable housing it is necessary to understand residential development financing, and specifically project finance. As we will outline however, private investment in social and affordable housing is not a straightforward matter. This research involved: • a review of national and international literature on SII in affordable housing • analysis of in-depth interviews with experts in government, and with SI investors and intermediaries, and CHPs about the definition of SII, its purpose in relation to social/affordable housing, how it has been applied and its benefits in regard to the supply of social and affordable housing in Australia. © Australian Housing and Urban Research Institute Limited 2018.</t>
  </si>
  <si>
    <t>Affordability; Affordable; Community housing; Development; Home purchase; Housing finance; Innovative financing; Not-for-profit; Social impact; Social impact investing</t>
  </si>
  <si>
    <t>Sridhar K.S.</t>
  </si>
  <si>
    <t>Sridhar, Kala Seetharam (7102988561)</t>
  </si>
  <si>
    <t>Understanding the Digital Platform Economy: Effect of Airbnb on Housing in Indian Cities</t>
  </si>
  <si>
    <t>4-5</t>
  </si>
  <si>
    <t>10.1080/10511482.2021.1929389</t>
  </si>
  <si>
    <r>
      <rPr>
        <u/>
        <sz val="10"/>
        <color rgb="FF000000"/>
        <rFont val="Helvetica Neue"/>
      </rPr>
      <t>https://www.scopus.com/inward/record.uri?eid=2-s2.0-85111394281&amp;doi=10.1080%2f10511482.2021.1929389&amp;partnerID=40&amp;md5=c0cba240e5152b856df8011393663902</t>
    </r>
  </si>
  <si>
    <t>Centre for Research in Urban Affairs, Institute for Social and Economic Change, Bangalore, India</t>
  </si>
  <si>
    <t>Sridhar K.S., Centre for Research in Urban Affairs, Institute for Social and Economic Change, Bangalore, India</t>
  </si>
  <si>
    <t>This article answers the question: What is the effect of Airbnb on rents and housing prices? Based on theory and empirical evidence, we expect that in cities where Airbnb is active, rental accommodation and housing would be relatively more expensive. This is because we assume that such units were withdrawn from the housing market and excess capacity of houses can be used. We distinguish between the rents of one-, two-, and three-bedroom apartments, in addition to housing prices in major Indian cities. Accounting for the endogeneity of Airbnb density, we find that the Airbnb density has a significant effect in terms of raising rents of apartments of different sizes as well as increasing housing prices. The magnitude of our estimates implies an increase of up to 0.08% in the rent of two-bedroom apartments, 0.14% in the rents of three-bedroom apartments, and 0.39% in housing prices per square foot, for every 1-percentage-point increase in Airbnb density. These effects are higher than those found in some existing studies, but lower than those found by others. The policy implications of the research and caveats of the data and research are summarized. © 2021 Informa UK Limited, trading as Taylor &amp; Francis Group.</t>
  </si>
  <si>
    <t>Airbnb—Indian cities; Airbnb—rents and housing prices; digital platform economy—Indian cities; housing affordability—rents in Indian cities; Housing—Indian cities</t>
  </si>
  <si>
    <t>Gurran N.; Hulse K.; Dodson J.; Pill M.; Dowling R.; Reynolds M.; Maalsen S.</t>
  </si>
  <si>
    <t>Gurran, Nicole (16315593600); Hulse, Kath (57203028562); Dodson, Jago (56235056700); Pill, Madeleine (52564039900); Dowling, Robyn (7102921193); Reynolds, Margaret (7202326828); Maalsen, Sophia (57193780226)</t>
  </si>
  <si>
    <t>Urban productivity and affordable rental housing supply in Australian cities and regions</t>
  </si>
  <si>
    <t>10.18408/AHURI7320001</t>
  </si>
  <si>
    <r>
      <rPr>
        <u/>
        <sz val="10"/>
        <color rgb="FF000000"/>
        <rFont val="Helvetica Neue"/>
      </rPr>
      <t>https://www.scopus.com/inward/record.uri?eid=2-s2.0-85103605634&amp;doi=10.18408%2fAHURI7320001&amp;partnerID=40&amp;md5=1c4a8478411e16df590191504b387cd4</t>
    </r>
  </si>
  <si>
    <t>The University of Sydney, Australia; Swinburne University; RMIT</t>
  </si>
  <si>
    <t>Gurran N., The University of Sydney, Australia; Hulse K., Swinburne University; Dodson J., RMIT; Pill M., The University of Sydney, Australia; Dowling R., The University of Sydney, Australia; Reynolds M., Swinburne University; Maalsen S., The University of Sydney, Australia</t>
  </si>
  <si>
    <t>This Inquiry examined changes in the supply of private rental housing and the implications for strategic policy interventions geared towards improving urban productivity. • Low-income (Q21) households are a critical sector of the workforce, but increasingly struggle to find affordable rental housing near employment centres of Australia's major urban areas. • Over two decades, the nation's shortage of affordable dwellings available for Q2 households in the private rental sector has grown to 173,000, with the most extreme shortage in Sydney (60,000 dwellings), where 71 per cent of all Q2 private rental households pay unaffordable rent. • The shortage is most acute in inner and middle ring areas which offer higher accessibility to greater concentrations of employment opportunities. Consequently, Q2 renters are either enduring affordability stress, commuting burdens, or both in order to access employment opportunities. There is lower employment participation by Q2 households who live in outer suburban locations of both Sydney and Melbourne, although the extent to which this reflects household trade-offs is unclear. • To address this, the Inquiry identified three primary policy development options: increasing affordable rental housing near key employment areas; improving accessibility and connectivity to outer suburban and satellite city housing markets via strategic investment in transport and communications infrastructure; and 'concentrated decentralisation' -fostering new employment clusters through strategic place-based funding interventions and digital innovation. • Providing more affordable rental opportunities in locations offering high access to employment would benefit Q2 households currently living in housing stress and support long term labour market sustainability. In particular, policies to increase affordable supply in middle suburbs through new development incorporating lower cost rental housing would assist employment participation and reduce housing stress of Q2 households. • Place-based funding interventions such as 'City Deals' have emerged as important models for catalysing new development, including housing, through strategic investment. Growing use of these models in Australian cities represents an opportunity to link transport and infrastructure investment to affordable housing in accessible locations. • Digital and innovation sectors can play an important role in urban productivity by supporting new work practices such as telecommuting, and potentially by creating economic opportunities in locations with lower cost housing, such as the outer suburbs of major cities and in satellite or regional cities. Planned innovation precincts which cluster around 'anchor institutions' like universities can achieve agglomeration benefits, particularly if supported by high quality transport and communications infrastructure. However, mechanisms to preserve affordability and ensure that new affordable rental housing is created as part of new development, are critical.  © 2021 Australian Housing and Urban Research Institute Limited.</t>
  </si>
  <si>
    <t>Affordable rental housing; Cities; City deals; Commuting; Digital innovation and cities; Employment participation; Low-income renters; Productivity; Regional development</t>
  </si>
  <si>
    <t>Zapata Campos M.J.; Kain J.-H.; Oloko M.; Stenberg J.; Zapata P.</t>
  </si>
  <si>
    <t>Zapata Campos, María José (55260596600); Kain, Jaan-Henrik (8790038700); Oloko, Michael (57185742700); Stenberg, Jenny (8771501500); Zapata, Patrik (55260681600)</t>
  </si>
  <si>
    <t>Urban qualities and residents’ strategies in compact global south cities: the case of Havana</t>
  </si>
  <si>
    <t>10.1007/s10901-021-09856-7</t>
  </si>
  <si>
    <r>
      <rPr>
        <u/>
        <sz val="10"/>
        <color rgb="FF000000"/>
        <rFont val="Helvetica Neue"/>
      </rPr>
      <t>https://www.scopus.com/inward/record.uri?eid=2-s2.0-85105531493&amp;doi=10.1007%2fs10901-021-09856-7&amp;partnerID=40&amp;md5=9509a7c9d62035595999cbeae57d5450</t>
    </r>
  </si>
  <si>
    <t>School of Business, Economics and Law, University of Gothenburg, PO Box 610, Göteborg, 405 30, Sweden; Department of Architecture and Civil Engineering, Chalmers University of Technology, Göteborg, Sweden; Jaramogi Oginga, Odinga University of Science and Technology, P.O. Box 210-40601, Bondo, Kenya; School of Public Administration, University of Gothenburg, Göteborg, Sweden</t>
  </si>
  <si>
    <t>Zapata Campos M.J., School of Business, Economics and Law, University of Gothenburg, PO Box 610, Göteborg, 405 30, Sweden; Kain J.-H., Department of Architecture and Civil Engineering, Chalmers University of Technology, Göteborg, Sweden; Oloko M., Jaramogi Oginga, Odinga University of Science and Technology, P.O. Box 210-40601, Bondo, Kenya; Stenberg J., Department of Architecture and Civil Engineering, Chalmers University of Technology, Göteborg, Sweden; Zapata P., School of Public Administration, University of Gothenburg, Göteborg, Sweden</t>
  </si>
  <si>
    <t>Research and policy argue for more compact cities to respond to sustainable development challenges. However, what actually needs to be made more compact and how, is under examined, particularly in global South cities where north notions of urban qualities are adopted without being questioned. Informed by a qualitative study in informal and compact neighborhoods in Havana, this paper explores which qualities are important to deliver more just cities, and what strategies are developed by residents to strengthen beneficial qualities and address detrimental qualities in contexts of informal urbanization and compactness. It shows how the street, human capital, neighborhood, housing affordability, citizenship and vibrancy are significant compact city qualities neglected in the literature. Finally, the paper shows how diverse strategies are developed by residents to draw upon these qualities, such as self-help urbanism, learning and innovation, economic entrepreneurship, networks of solidarity, economies of reciprocity, local imaginaries and active citizenship. © 2021, The Author(s).</t>
  </si>
  <si>
    <t>Compact cities; Density; Housing; Informal settlements; Neighborhood; Public space</t>
  </si>
  <si>
    <t>CUBA; HAVANA; LA HABANA [CUBA]; DEVELOPING WORLD; DEVELOPMENT STRATEGY; INFORMAL SETTLEMENT; NEIGHBORHOOD; PUBLIC SPACE; RESIDENT POPULATION; RESIDENTIAL DEVELOPMENT; URBAN HOUSING; URBAN POLICY</t>
  </si>
  <si>
    <t>Gilbert C.; Rowley S.; Gurran N.; Leishman C.; Mouritz M.; Raynor K.; Cornell C.</t>
  </si>
  <si>
    <t>Gilbert, Catherine (7201382636); Rowley, Steven (7006249092); Gurran, Nicole (16315593600); Leishman, Chris (55948524500); Mouritz, Mike (6505992144); Raynor, Katrina (57193745948); Cornell, Christen (57201068106)</t>
  </si>
  <si>
    <t>Urban regulation and diverse housing supply: An investigative panel</t>
  </si>
  <si>
    <t>10.18408/AHURI7321501</t>
  </si>
  <si>
    <r>
      <rPr>
        <u/>
        <sz val="10"/>
        <color rgb="FF000000"/>
        <rFont val="Helvetica Neue"/>
      </rPr>
      <t>https://www.scopus.com/inward/record.uri?eid=2-s2.0-85098088163&amp;doi=10.18408%2fAHURI7321501&amp;partnerID=40&amp;md5=5a6776a688ffd3e22801b9332d75bddc</t>
    </r>
  </si>
  <si>
    <t>The University of Sydney, Australia; Curtin University, Australia; The University of Adelaide, Australia; The University of Melbourne, Australia</t>
  </si>
  <si>
    <t>Gilbert C., The University of Sydney, Australia; Rowley S., Curtin University, Australia; Gurran N., The University of Sydney, Australia; Leishman C., The University of Adelaide, Australia; Mouritz M., Curtin University, Australia; Raynor K., The University of Melbourne, Australia; Cornell C., The University of Sydney, Australia</t>
  </si>
  <si>
    <t>Key points • Diversifying housing supply in response to changing demographic profiles and declining housing affordability has become a significant policy aspiration in Australia's major cities. • However, despite this aspiration, the majority of housing is delivered in the form of detached housing in greenfield locations and, to a lesser extent, high-rise apartments, both of which are sold at market rates to owner-occupiers and small-scale buy-to-let investors. • In this context, this study engaged the expertise of 50 housing and built-environment professionals in Sydney, Melbourne and Perth on Investigative Panels to examine barriers and challenges within the housing system for delivering housing supply that is more diverse in terms of size and built form, tenure, development model and, importantly, affordability level. • Across these three cities, the housing industry and built-environment experts who took part in the study perceived a need for: greater diversity in housing types and sizes, particularly in lower-density suburban areas; medium- and higher-density housing forms able to accommodate a wider variety of household types and lifestyle preferences; rental housing that can offer greater security of tenure; and, more housing supply across tenures that is affordable to very low to moderate income households. • In addressing these gaps, panellists saw a need for more mediumdensity housing such as townhouses and other attached housing types with ground access; dwelling designs that cater to different household needs and preferences (in terms of size, facilities, adaptability, etc.), and alternative processes for developing new supply, including deliberative development models managed by future residents/owners. Panellists also emphasised the importance of affordable home ownership and rental housing options and increased supply of social housing. • The Investigative Panels revealed that these types of projects can face a range of development challenges. In terms of the planning system, challenges can include difficulty accessing sites where medium- and higher-density built form is permitted and financially viable; lack of clarity as to the permissibility of unconventional housing or development types within land-use zones; lack of flexibility in development controls to allow for design innovations, such as reduced car parking; and uncertainty around the time frame and outcome of development assessment decisions. • Uncertainty has a particular impact on less conventional developments with tight development margins, which are less able to cope with unexpected costs associated with time delays. At the same time such projects-often lower cost rental or home ownership developments -can also face greater community opposition in established areas, potentially prolonging assessment processes and uncertainty regarding an application outcome. • Other important challenges relate to factors beyond the planning system. These include high urban land costs; challenges obtaining development finance; and a lack of appropriate skills and expertise in the housing industry. • Competing for access to land and finance can be particularly difficult for housing projects that do not constitute highest value land use and that are initiated by start-up organisations and small developers without significant balance sheets or development track records. • Projects designed for long-term affordability and affordable housing projects by not-for-profit housing providers face additional economic viability challenges, while subsidies to support project viability are limited and inconsistent. • The drive for innovation in new housing supply must ultimately come from the private housing development industry, which currently produces more than 97 per cent of Australia's new homes. • However, all levels of government can play a role in de-risking and supporting the viability of diverse housing projects through subsidies in the form of land, grants, and access to special mortgage products for purchasers of diverse housing products; as well as through access to development finance, and special development assessment pathways. • State and local governments can ensure that land-use zoning allows for or requires a range of dwelling densities in different locations. Zoning rules can also be designed to limit competition from higher value land uses where a particular form or tenure of housing is desired. • Flexibility and concessions on development requirements and fees and charges, where appropriate, could also help to support the viability of diverse housing projects. • While planning-based interventions can play an important role in supporting the permissibility and viability of projects delivering diverse housing dwelling types and sizes, tenures and development models, deeper forms of subsidy are required to support significant supply of housing that is affordable to low-income groups. • All levels of government can play an important role in communicating the need for more diverse housing supply and enabling more diverse housing supply through strong leadership. In addition to Commonwealth financial support, state governments should take a leadership role in establishing targets and strategic directions for increasing diversity of housing supply; and supporting innovation through demonstration projects that can be replicated across the industry. Local governments have a crucial role in building support for housing designed to meet the full spectrum of needs in their communities, and in helping developers and community organisations interested in delivering diverse types and tenures of housing and development models to navigate the planning system. © 2020 Australian Housing and Urban Research Institute. All rights reserved.</t>
  </si>
  <si>
    <t>Financing social and affordable housing; Home ownership; Private rental market; Supply and demand for social and affordable housing; Urban planning and housing</t>
  </si>
  <si>
    <t>Subin Z.M.; Lombardi J.; Muralidharan R.; Korn J.; Malik J.; Pullen T.; Wei M.; Hong T.</t>
  </si>
  <si>
    <t>Subin, Zachary M. (36997411100); Lombardi, Jackie (59347447500); Muralidharan, Raghav (59347723500); Korn, Jacob (59347862300); Malik, Jeetika (57202199627); Pullen, Tyler (57911826100); Wei, Max (35148814900); Hong, Tianzhen (7202830430)</t>
  </si>
  <si>
    <t>US urban land-use reform: a strategy for energy sufficiency</t>
  </si>
  <si>
    <t>BUILDINGS AND CITIES</t>
  </si>
  <si>
    <t>10.5334/bc.434</t>
  </si>
  <si>
    <r>
      <rPr>
        <u/>
        <sz val="10"/>
        <color rgb="FF000000"/>
        <rFont val="Helvetica Neue"/>
      </rPr>
      <t>https://www.scopus.com/inward/record.uri?eid=2-s2.0-85205250247&amp;doi=10.5334%2fbc.434&amp;partnerID=40&amp;md5=59a88393719e5ba84c5753f96e2f171f</t>
    </r>
  </si>
  <si>
    <t>Terner Center for Housing Innovation, University of California, Berkeley, Oakland, CA, United States; Urban Transformation, Rocky Mountain Institute, Boulder, CO, United States; Rocky Mountain Institute, Carbon-Free Buildings, Boulder, CO, United States; Building Technology &amp; Urban Systems, Lawrence Berkeley National Laboratory, Berkeley, CA, United States; Energy Analysis and Environmental Impacts Division, Lawrence Berkeley National Laboratory, Berkeley, CA, United States</t>
  </si>
  <si>
    <t>Subin Z.M., Terner Center for Housing Innovation, University of California, Berkeley, Oakland, CA, United States; Lombardi J., Urban Transformation, Rocky Mountain Institute, Boulder, CO, United States; Muralidharan R., Rocky Mountain Institute, Carbon-Free Buildings, Boulder, CO, United States; Korn J., Urban Transformation, Rocky Mountain Institute, Boulder, CO, United States; Malik J., Building Technology &amp; Urban Systems, Lawrence Berkeley National Laboratory, Berkeley, CA, United States; Pullen T., Terner Center for Housing Innovation, University of California, Berkeley, Oakland, CA, United States; Wei M., Energy Analysis and Environmental Impacts Division, Lawrence Berkeley National Laboratory, Berkeley, CA, United States; Hong T., Building Technology &amp; Urban Systems, Lawrence Berkeley National Laboratory, Berkeley, CA, United States</t>
  </si>
  <si>
    <t>Policy approaches to the global energy transition often focus on technology-based solutions while ignoring challenges of overall energy demand. A sufficiency-first approach aims to limit superfluous consumption while achieving wellbeing for all. This study focuses on US built environment mechanisms of sufficiency under urban land-use policy. The historical context of US exclusionary and car-oriented planning is reviewed with an order-of-magnitude assessment of the effects on greenhouse gas emissions (GHGE). Using national vehicle-miles traveled (VMT) data derived from mobile device locations (Replica) and validated here with federal data, a hypothetical scenario explores the potential for state urban land-use reforms to enable energy sufficiency. Tenth percentile-VMT (per capita) neighborhoods are defined by state: in 47 states, the typical such neighborhood has less than 33% of its housing units in structures larger than four units. Assuming each state redresses its housing shortage while matching this VMT, 31 Mt CO2 e (direct GHGE) and about 38 Mt CO2 e (indirect and life-cycle GHGE) would be avoided in 2033. Texas, California, and Florida have the largest absolute emissions reduction opportunity. Urban land-use reforms comprise a logical starting point for a US sufficiency agenda. Key priorities for research, data collection, and technology and policy innovation are proposed. POLICY RELEVANCE International climate policy is increasingly focused on enabling people to consume less energy: not just technological ‘efficiency’ but ‘sufficiency’ is needed. However, sufficiency has seen little uptake in the US. It may be more relevant to US policymakers if related to the growing momentum for reforming land-use planning and housing policy to address the housing shortage and affordability crisis. This crisis stems in part from the US prevalence of single-family zoning and car-centric planning, rooted in a history of racial segregation; these same laws effectively mandate people to maintain more polluting lifestyles. This study estimates how much climate pollution could be avoided with state-led land-use reform. If states committed to solving the housing shortage while building new housing in neighborhoods where people can drive less, the savings could be comparable with expanding electric vehicle policies. Policymakers and practitioners can enable these reforms while supporting complementary policy goals. © 2024 The Author(s).</t>
  </si>
  <si>
    <t>climate mitigation; housing policy; land-use policy; sufficiency; transportation; urban planning; US</t>
  </si>
  <si>
    <t>UBIQUITY PRESS</t>
  </si>
  <si>
    <t>Build. Cities.</t>
  </si>
  <si>
    <t>EC1</t>
  </si>
  <si>
    <t>EC3</t>
  </si>
  <si>
    <t>AlQahtany, A.M.; Alshammari, M.S.</t>
  </si>
  <si>
    <t>AlQahtany, Ali Muflah (55829838800); Alshammari, Maher S. (57877816200)</t>
  </si>
  <si>
    <t>Building Futures: A State-of-the-Art Review and Framework for Housing Policies, Delivery, and Challenges in Saudi Arabia under Vision 2030</t>
  </si>
  <si>
    <t>2025</t>
  </si>
  <si>
    <t>Civil Engineering and Architecture</t>
  </si>
  <si>
    <t>13</t>
  </si>
  <si>
    <t>4</t>
  </si>
  <si>
    <t>2807</t>
  </si>
  <si>
    <t>2818</t>
  </si>
  <si>
    <t>1</t>
  </si>
  <si>
    <t>10.13189/cea.2025.130401</t>
  </si>
  <si>
    <t>https://www.scopus.com/inward/record.uri?eid=2-s2.0-105010358443&amp;doi=10.13189%2Fcea.2025.130401&amp;partnerID=40&amp;md5=5105bddea00c9d3bc18c608f7f5e7c31</t>
  </si>
  <si>
    <t>Department of Urban and Regional Planning, Imam Abdulrahman Bin Faisal University, Dammam, Ash Sharqiyah, Saudi Arabia</t>
  </si>
  <si>
    <t>AlQahtany, Ali Muflah, Department of Urban and Regional Planning, Imam Abdulrahman Bin Faisal University, Dammam, Ash Sharqiyah, Saudi Arabia; Alshammari, Maher S., Department of Urban and Regional Planning, Imam Abdulrahman Bin Faisal University, Dammam, Ash Sharqiyah, Saudi Arabia</t>
  </si>
  <si>
    <t>Housing remains a critical socio-economic challenge in Saudi Arabia, shaped by rapid urbanization, demographic changes, and economic transformation under Vision 2030. This research explores the current state of the housing sector, assessing the effectiveness of policies such as the Sakani Program and Idle Lands Program, while identifying persistent challenges including affordability gaps, urban-rural disparities, and regulatory inefficiencies. The study highlights the potential of public-private partnerships, innovative financing mechanisms, and sustainable construction technologies in bridging the housing supply-demand mismatch. Drawing insights from global best practices, it proposes a comprehensive framework emphasizing policy reforms, infrastructure investment, and technological advancements to ensure affordable, high-quality, and inclusive housing. Additionally, the research underscores the significance of addressing socio-cultural factors and supporting vulnerable populations through targeted interventions. By integrating sustainability, equity, and innovation, this study aligns with Saudi Vision 2030's goals of increasing homeownership, fostering economic diversification, and enhancing the quality of life. The proposed recommendations aim to transform the housing sector into a cornerstone of national development, creating resilient and inclusive communities while addressing the evolving needs of Saudi society. © 2025 by authors, all rights reserved.</t>
  </si>
  <si>
    <t>Housing Affordability; Housing Policies; Public-Private Partnerships (PPPs); Saudi Vision 2030; Sustainability; Urbanization</t>
  </si>
  <si>
    <t>Horizon Research Publishing</t>
  </si>
  <si>
    <t>Civil Engi. Arc.</t>
  </si>
  <si>
    <t>Amar, J.H.N.; Armitage, L.A.</t>
  </si>
  <si>
    <t>Amar, Johari H.N. (57194782604); Armitage, Lynne Audrey (54987556200)</t>
  </si>
  <si>
    <t>15</t>
  </si>
  <si>
    <t>3</t>
  </si>
  <si>
    <t>454</t>
  </si>
  <si>
    <t>https://www.scopus.com/inward/record.uri?eid=2-s2.0-85217574340&amp;doi=10.3390%2Fbuildings15030454&amp;partnerID=40&amp;md5=31b7fe9145e411b15441368a370635ff</t>
  </si>
  <si>
    <t>Faculty of Society and Design, Bond University, Gold Coast, QLD, Australia</t>
  </si>
  <si>
    <t>Amar, Johari H.N., Faculty of Society and Design, Bond University, Gold Coast, QLD, Australia; Armitage, Lynne Audrey, Faculty of Society and Design, Bond University, Gold Coast, QLD, Australia</t>
  </si>
  <si>
    <t>Australia’s housing affordability crisis has deepened despite extensive policy intervention, with the private rental sector experiencing unprecedented pressure. This study proposes that affordable housing should guarantee low and moderate-income households their fundamental right to access secure and safe dwellings, enabling these households to meet essential needs and maintain quality of life without enduring housing stress. Despite significant public investment, a critical housing shortage persists across the nation with a need to build 640,000 homes annually. This crisis is exacerbated by ineffective public–private–community partnerships (PPCP) and the absence of a unified national housing policy. This study critically examines the NRAS to understand why market-based interventions have consistently fallen short of addressing housing affordability challenges. Through empirical analysis of 31 in-depth interviews with senior stakeholders across public, private and community sectors, this research identifies five systemic barriers: definitional inconsistencies in affordable housing policy"; inflexible strategic frameworks; misaligned investment incentives; geographical inequities in resource allocation;" and fragmented governance structures. The study introduces the Personal and Collective Will in Policy Implementation (PaCWiPI) framework as an innovative approach integrating Maslow’s Hierarchy of Needs with Henderson’s Poverty Line metrics. Our findings demonstrate that effective housing policy requires a fundamental shift from rigid, standardised approaches towards adaptive frameworks that are responsive to diverse market conditions. This research advances housing policy scholarship by providing empirical evidence of implementation barriers while offering practical recommendations for future initiatives, relevant to the current Housing Australia Future Fund and other regionally-related housing policies. © 2025 by the authors.</t>
  </si>
  <si>
    <t>Affordable housing; Australia; Community partnerships; Demand and supply; Housing continuum; Housing policy; National housing strategy; National rental affordability scheme; Personal and collective will in policy implementation; Policy governance; Policy implementations; Private communities; Private rental sector; Public-private; Public–private–community partnership</t>
  </si>
  <si>
    <t>Multidisciplinary Digital Publishing Institute (MDPI)</t>
  </si>
  <si>
    <t>Arham, A.F.; Yazid, N.I.A.; Aziz, M.F.; Rahim, N.A.; Abidin, A.W.Z.</t>
  </si>
  <si>
    <t>Arham, Ahmad Firdhaus (57204961327); Yazid, Nurul Izzah Abu (60284132200); Aziz, Muhammad Firdaus (58145916900); Rahim, Norbaya Ab (60284729700); Abidin, Aida Wati Zainan (57221830498)</t>
  </si>
  <si>
    <t>ADDRESSING BARRIERS TO AFFORDABLE AND SUSTAINABLE HOUSING FOR MALAYSIAN YOUTH</t>
  </si>
  <si>
    <t>Planning Malaysia</t>
  </si>
  <si>
    <t>23</t>
  </si>
  <si>
    <t>5</t>
  </si>
  <si>
    <t>757</t>
  </si>
  <si>
    <t>772</t>
  </si>
  <si>
    <t>0</t>
  </si>
  <si>
    <t>10.21837/pm.v23i38.1880</t>
  </si>
  <si>
    <t>https://www.scopus.com/inward/record.uri?eid=2-s2.0-105026690886&amp;doi=10.21837%2Fpm.v23i38.1880&amp;partnerID=40&amp;md5=24cf42168a26f7e4172d3393495bb980</t>
  </si>
  <si>
    <t>Universiti Kebangsaan, Lingkungan Ilmu, Malaysia; Institut Islam Hadhari, Malaysia; Faculty of Architecture, Universiti Teknologi MARA, Shah Alam, Selangor, Malaysia; Universiti Teknologi MARA, Shah Alam, Selangor, Malaysia</t>
  </si>
  <si>
    <t>Arham, Ahmad Firdhaus, Universiti Kebangsaan, Lingkungan Ilmu, Malaysia, Institut Islam Hadhari, Malaysia; Yazid, Nurul Izzah Abu, Universiti Kebangsaan, Lingkungan Ilmu, Malaysia; Aziz, Muhammad Firdaus, Universiti Kebangsaan, Lingkungan Ilmu, Malaysia; Rahim, Norbaya Ab, Faculty of Architecture, Universiti Teknologi MARA, Shah Alam, Selangor, Malaysia; Abidin, Aida Wati Zainan, Universiti Teknologi MARA, Shah Alam, Selangor, Malaysia</t>
  </si>
  <si>
    <t>This study explores the critical challenges and opportunities of affordable, sustainable housing for youth in Malaysia. Drawing upon the Theory of Planned Behaviour (TPB), the research identifies key factors influencing youth homeownership, including attitudes toward affordability and sustainability, social expectations, and perceived financial control. The findings highlight significant barriers, including high property prices, limited housing options in prime locations, and inadequate awareness of financial aid schemes. Moreover, the study underscores the significance of financial literacy programmes, innovative policy interventions, and sustainable urban planning to address these issues. Notably, fostering collaboration among policymakers, developers, and financial institutions can create a more inclusive and accessible housing landscape, empowering youth to secure long-term homeownership and contribute to national socio-economic stability. © 2025 by MIP</t>
  </si>
  <si>
    <t>Affordable Housing; Sustainable Housing; Youth Homeownership. Theory of Planned Behaviour (TPB)</t>
  </si>
  <si>
    <t>Malaysian Institute Of Planners</t>
  </si>
  <si>
    <t>Çövüt, M.; Ercan, T.</t>
  </si>
  <si>
    <t>Çövüt, Merve (59812428700); Ercan, Tuǧçe (55871901700)</t>
  </si>
  <si>
    <t>Assessment framework of economic sustainability for current housing stock: case of Türkiye</t>
  </si>
  <si>
    <t>International Journal of Housing Markets and Analysis</t>
  </si>
  <si>
    <t>10.1108/IJHMA-01-2025-0017</t>
  </si>
  <si>
    <t>https://www.scopus.com/inward/record.uri?eid=2-s2.0-105004676021&amp;doi=10.1108%2FIJHMA-01-2025-0017&amp;partnerID=40&amp;md5=18293b24a992a5f32117aa1b8141ba6b</t>
  </si>
  <si>
    <t>Department of Architecture, Yıldız Teknik Üniversitesi, Istanbul, Turkey</t>
  </si>
  <si>
    <t>Çövüt, Merve, Department of Architecture, Yıldız Teknik Üniversitesi, Istanbul, Turkey; Ercan, Tuǧçe, Department of Architecture, Yıldız Teknik Üniversitesi, Istanbul, Turkey</t>
  </si>
  <si>
    <t>Purpose: Sustainable development requires a healthy housing stock and market for nations. However, economic conditions pose major obstacles in the housing sector particularly in Türkiye. To ensure that sustainability is measurable, the use of sustainability indicators and the evaluation of their impacts are gaining importance. This study aims to create a framework for economic sustainability in the housing stock, identifying and prioritizing key indicators and creating a database by compiling certain indicators from the literature so that economic sustainability can be measured, particularly in the context of current housing stock and real estate. Design/methodology/approach: For the aim of developing primary themes and establishing a framework to enhance the economic sustainability of the housing stock, identifying solution categories associated with these themes and indicating potential areas for addressing the identified issues is crucial. After predicting the problem, first, a systematic literature review was conducted and selected studies were utilized to compile a comprehensive list of economic sustainability indicators for the housing stock. To avoid redundancy, indicators with overlapping meanings were consolidated or redefined. Secondly, a Delphi survey was conducted to rank the economic sustainability indicators, which were compiled through the literature review, according to their importance and priority as assessed by experts and to statistically analyze their responses. Findings: According to the Delphi survey results, mortgage interest rates, categorized under the theme of “affordability and availability,” emerged as a critical indicator of the economic sustainability of housing stock in Türkiye. Inflation rates indicator, which is under the “financial reliability” title, is the second most important indicator by a small margin. In addition, according to the averages of these two topics, “affordability and availability” and “financial reliability” are more decisive than other themes in this order. These survey results underline the centrality of economic factors, particularly mortgage interest rates and inflation, in ensuring the sustainability of housing stock. The emphasis on affordability and financial reliability highlights the necessity of targeted policy measures to address economic vulnerabilities and stabilize housing markets in Türkiye. Consequently, this study approached economic sustainability from a housing stock perspective, offering a broader, macro-scale analysis of the issue. Originality/value: To achieve economic sustainability in housing stock, a coordinated approach involving the government, financial institutions, community, real estate market and the private sector is essential. The government must implement policies that regulate mortgage rates, inflation and infrastructure development, while financial institutions should provide affordable housing finance options. The community plays a key role in supporting sustainable housing initiatives, and the real estate market must adapt to demand to ensure stability. The private sector can drive innovation, particularly in appropriate technology and housing quality, helping to improve affordability and efficiency. Together, these sectors can foster a stable, sustainable housing market that benefits future generations. However, the results suggest that government, financial institutions and the real estate market play critical roles in ensuring economic sustainability. © 2025, Emerald Publishing Limited.</t>
  </si>
  <si>
    <t>Delphi technique; Economic sustainability indicators; Housing economy; Housing stock</t>
  </si>
  <si>
    <t>Emerald Publishing</t>
  </si>
  <si>
    <t>Deininger, K.; Goyal, A.</t>
  </si>
  <si>
    <t>Deininger, Klaus W. (6701857553); Goyal, Aparajita (55096797300)</t>
  </si>
  <si>
    <t>World Bank Research Observer</t>
  </si>
  <si>
    <t>40</t>
  </si>
  <si>
    <t>57</t>
  </si>
  <si>
    <t>https://www.scopus.com/inward/record.uri?eid=2-s2.0-85215989115&amp;doi=10.1093%2Fwbro%2Flkae005&amp;partnerID=40&amp;md5=ea4f40d859ade3a0ca0cce4b590f705e</t>
  </si>
  <si>
    <t>The World Bank, USA, Washington, D.C., United States</t>
  </si>
  <si>
    <t>Deininger, Klaus W., The World Bank, USA, Washington, D.C., United States; Goyal, Aparajita, The World Bank, USA, Washington, D.C., United States</t>
  </si>
  <si>
    <t>In coming decades, Africa's urban populations will expand, and the effects of climate change be more keenly felt. Land policies and institutions will be key for urban dwellers to be able access productive jobs, breathe clean air, and live in decent housing"; for entrepreneurs, especially women, to leverage land for productive investment; and for farmers to diversify, insure against shocks, and accumulate capital. Yet, many African land registries perform poorly, command little trust, and have failed to capitalize on opportunities to improve quality, relevance, and outreach via digital interoperability, use of earth observation, and connectivity. Literature highlights scope for regulatory and institutional reforms to (a) expand property taxation and land value capture and to improve urban service delivery, planning, and land use regulations; (b) increase quality and affordability of land services and access to land price and ownership data; (c) guide issuance of rural land use rights to reduce barriers to rural factor markets, including by spatially enabling farmer registries to improve subsidy targeting and effectiveness;" and (d) demarcation and transparent decentralized management of public land to attract investment, including in climate finance, without fueling corruption, and to manage disputes before they escalate into ethnic violence. © 2024 International Bank for Reconstruction and Development / The World Bank. Published by Oxford University Press.</t>
  </si>
  <si>
    <t>institutional reform; land management; land market; tax system; urban growth; urban policy; Africa</t>
  </si>
  <si>
    <t>Oxford University Press</t>
  </si>
  <si>
    <t>Deshmukh, M.; Priya, R.; Senthil, R.</t>
  </si>
  <si>
    <t>Deshmukh, Manali (57218248089); Priya, Radhakrishnan Shanthi (55043280000); Senthil, Ramalingam (57202595940)</t>
  </si>
  <si>
    <t>Influence of Technological and Socioeconomic Factors on Affordable and Sustainable Housing Development</t>
  </si>
  <si>
    <t>Urban Science</t>
  </si>
  <si>
    <t>9</t>
  </si>
  <si>
    <t>12</t>
  </si>
  <si>
    <t>547</t>
  </si>
  <si>
    <t>10.3390/urbansci9120547</t>
  </si>
  <si>
    <t>https://www.scopus.com/inward/record.uri?eid=2-s2.0-105025975603&amp;doi=10.3390%2Furbansci9120547&amp;partnerID=40&amp;md5=9197f85bfa8a2801199ae324115406c9</t>
  </si>
  <si>
    <t>School of Architecture and Interior Design, SRM Institute of Science and Technology, Kattankulathur, TN, India; SMEF’s Brick School of Architecture, Pune, India; Department of Mechanical Engineering, SRM Institute of Science and Technology, Kattankulathur, TN, India</t>
  </si>
  <si>
    <t>Deshmukh, Manali, School of Architecture and Interior Design, SRM Institute of Science and Technology, Kattankulathur, TN, India, SMEF’s Brick School of Architecture, Pune, India; Priya, Radhakrishnan Shanthi, School of Architecture and Interior Design, SRM Institute of Science and Technology, Kattankulathur, TN, India; Senthil, Ramalingam, Department of Mechanical Engineering, SRM Institute of Science and Technology, Kattankulathur, TN, India</t>
  </si>
  <si>
    <t>An effective housing policy must ensure affordability for individuals across all income levels by integrating advanced technological innovations with comprehensive socioeconomic strategies. Affordable housing fosters social inclusion, whereas sustainability supports long-term environmental protection and economic stability. The success and long-term sustainability of affordable housing initiatives are heavily influenced by current socioeconomic conditions, emphasizing the need for context-specific, inclusive, and sustainable housing solutions. Benchmarks are crucial in affordable housing to determine if it is climate-positive, aligning with the goals of the United Nations’ Sustainable Development Goal 11.1, which seeks to provide affordable and sustainable housing for everyone by 2030. This study uses the Scopus database to perform a scientometric analysis of 595 publications (2015–2024) on sustainability and affordability in housing. Using R-Studio 2025.05.1 + 513.pro3 and VOSviewer 1.6.20, it examines bibliographic trends, research gaps, and collaboration patterns across countries and journals. This study highlights performance thresholds related to economic, environmental, energy, territorial, and climatic factors. However, cost and ecological objectives can cause conflict with each other practically, and hence a balanced approach including green practices, efficient materials, and subsidies is crucial. There is a need for policymakers to address market gaps to prevent socially exclusive or environmentally harmful outcomes, maintain long-term urban resilience, and ensure sustained urban resilience and equitable access to affordable, sustainable housing by 2030. Integrating sustainable materials, circular and climate-resilient design, smart technologies, inclusive governance, and evidence-based policies is crucial for advancing affordable, equitable, and resilient housing. This approach guides future research and policy toward long-term social, economic, and environmental benefits. The findings and recommendations promote sustainable, affordable housing, emphasizing the need for further research on climate-resilient, energy-efficient, and cost-effective building solutions. © 2025 by the authors.</t>
  </si>
  <si>
    <t>affordability; circular economy; climate-positive housing; energy efficiency; environment; housing affordability; housing policies; housing projects; housing sustainability; social and public housing</t>
  </si>
  <si>
    <t>Urban. Sci.</t>
  </si>
  <si>
    <t>Esbitt, R.</t>
  </si>
  <si>
    <t>Esbitt, Roberta (59781014000)</t>
  </si>
  <si>
    <t>Feeding [off] the frenzy: a case study of platform influence on housing mortgage transactions in Australia</t>
  </si>
  <si>
    <t>Housing Studies</t>
  </si>
  <si>
    <t>10.1080/02673037.2025.2498383</t>
  </si>
  <si>
    <t>https://www.scopus.com/inward/record.uri?eid=2-s2.0-105004479706&amp;doi=10.1080%2F02673037.2025.2498383&amp;partnerID=40&amp;md5=d6ae32fbb4f5ead523498b192fdec992</t>
  </si>
  <si>
    <t>Urban and Social Studies, RMIT University, Melbourne, VIC, Australia</t>
  </si>
  <si>
    <t>Esbitt, Roberta, Urban and Social Studies, RMIT University, Melbourne, VIC, Australia</t>
  </si>
  <si>
    <t>Australian households, despite stagnated wages and job precarity, accept the prevailing neoliberal discourse promoting housing ownership facilitated by debt as their ‘path to wealth’. The resultant housing ‘frenzy’ fuels a volatile situation of high housing prices and household indebtedness, with low housing affordability and increasing social inequality. This paper identifies the strategic repositioning of powerful media as influential players in housing finance in a financialised yet weakly-regulated environment, through a study of a mortgage portal embedded in Australia’s predominant property platform, realestate.com.au. It reveals how digital media company REA Group, majority-owned by media conglomerate News Corporation, acquired mortgage brokerages and bank partnerships, using their portal to direct millions of Australians to lending in which they have a pecuniary interest, while controlling the discourse and harvesting data. The interdisciplinarity of this initiative has left it under-researched and overlooked by scholars and policy-makers. This mixed-methods case study extends the integration of media in housing studies and alerts readers to its compelling implications. © 2025 The Author(s). Published by Informa UK Limited, trading as Taylor &amp; Francis Group.</t>
  </si>
  <si>
    <t>Australia; financialisation; Housing; media; mortgage; platform</t>
  </si>
  <si>
    <t>Routledge</t>
  </si>
  <si>
    <t>Gray, D.P.</t>
  </si>
  <si>
    <t>Gray, David Paul (8368788100)</t>
  </si>
  <si>
    <t>A Spatial Analysis of the Components of Change of the Housing Stock in England: Will Alternative Means of Adding Dwellings Make a Difference?</t>
  </si>
  <si>
    <t>Sustainability (Switzerland)</t>
  </si>
  <si>
    <t>17</t>
  </si>
  <si>
    <t>16</t>
  </si>
  <si>
    <t>7431</t>
  </si>
  <si>
    <t>10.3390/su17167431</t>
  </si>
  <si>
    <t>https://www.scopus.com/inward/record.uri?eid=2-s2.0-105014258251&amp;doi=10.3390%2Fsu17167431&amp;partnerID=40&amp;md5=46fa0f5c44f372c8c02b575c440a07b3</t>
  </si>
  <si>
    <t>Lincoln International Business School, Lincoln, Lincolnshire, United Kingdom</t>
  </si>
  <si>
    <t>Gray, David Paul, Lincoln International Business School, Lincoln, Lincolnshire, United Kingdom</t>
  </si>
  <si>
    <t>Whether on greenfield or brownfield sites, new buildings need land. The locations of additional dwellings in England, whether provided through a standard planning process or a light-touch approach, have recently been criticised for not impacting affordability and for being in the wrong places. More sustainable means of raising the stock of abodes in England, including repurposing dilapidated or underused property, land, or infrastructure"; reducing the demolition rate;" and reducing the time an existing dwelling is left idle, do not consume additional land for building. Although the National Planning Policy Framework for additional dwellings places a duty on each district planning authority to find more land for housing, alternatives to new builds are included in the count. This paper examines the spatial concentrations of the components that can add to the habitable stock of real estate. It examines their take-up over recent years. This is important for land-use planning and the preservation of green spaces in the face of increasing housing pressures. Using a simple, innovative approach to assessing collocation, the paper considers whether there are similarities in spatial concentrations. The approach is used to infer whether builders converting existing property add units in areas where new builds are in more modest supply. Although alternative means of adding to the housing stock may be more sustainable, and more likely to be found in areas of greater need, the numbers are too low to be anything other than a supplement to new builds. © 2025 by the author.</t>
  </si>
  <si>
    <t>change-of-use; demolitions; district level; Fleiss’ kappa; Getis–Ord Gi; housing conversions; long-term vacancies; new building</t>
  </si>
  <si>
    <t>land use planning; planning process; spatial analysis; spatiotemporal analysis; sustainability; England; United Kingdom</t>
  </si>
  <si>
    <t>Hameed, B.; Xixiang, S.; Bello, H.M.</t>
  </si>
  <si>
    <t>Hameed, Bashir (60144489200); Xixiang, Sun (58870830300); Bello, Hammeed Mamman (60144661200)</t>
  </si>
  <si>
    <t>Global shifts in urban housing markets: the impact of remote work from a geoeconomic perspective</t>
  </si>
  <si>
    <t>10.1108/IJHMA-08-2025-0181</t>
  </si>
  <si>
    <t>https://www.scopus.com/inward/record.uri?eid=2-s2.0-105018935741&amp;doi=10.1108%2FIJHMA-08-2025-0181&amp;partnerID=40&amp;md5=5b4b940a56be155b7fc12641fef8ce02</t>
  </si>
  <si>
    <t>Department of Marketing, Wuhan University of Technology, Wuhan, Hubei, China; Department of English, University of Abuja, Abuja, Nigeria</t>
  </si>
  <si>
    <t>Hameed, Bashir, Department of Marketing, Wuhan University of Technology, Wuhan, Hubei, China; Xixiang, Sun, Department of Marketing, Wuhan University of Technology, Wuhan, Hubei, China; Bello, Hammeed Mamman, Department of English, University of Abuja, Abuja, Nigeria</t>
  </si>
  <si>
    <t>Purpose – Quantify how remote work and digital infrastructure reshape urban housing prices across 30 countries (2006–2023), and probe mechanisms via public transport demand and demographics. Design/methodology/approach – The authors assemble a harmonised country-panel (2006–2023) and estimate fixed-effects and random-effects models, a staggered-adoption difference-in-differences and two-stage least squares using broadband penetration as an instrument for remote-work intensity. Robustness checks include alternative controls, lags and sample trims. Findings – Remote-work intensity is positively associated with urban house price indices"; instrumental-variables estimates suggest a substantive effect beyond observables. Remote work coincides with lower public-transport ridership. Urban population growth enters with a negative coefficient. Together, results indicate emerging affordability pressures and shifting urban demand patterns. Research limitations/implications – Measurement of remote work and instrument validity remain constraints; cross-country heterogeneity advises caution in generalising magnitudes. Future microdata and quasi-experimental shocks would sharpen identification. Practical implications – Valuers, lenders and planners should incorporate remote-work indicators into appraisal comparables, density and land-use plans and transit revenue forecasts;" broadband policy interacts materially with urban price dynamics. Social implications – Potential affordability pressures and accessibility risks for lower-income renters underscore the need for targeted housing supports and transport–housing coordination. Originality/value – Offers cross-country panel evidence linking remote work, broadband rollout and core housing-market outcomes in one framework, bridging housing analytics with digital-infrastructure policy and professional practice. © 2025 Emerald Publishing Limited</t>
  </si>
  <si>
    <t>Affordability; Broadband; Difference-in-differences; Digital infrastructure; Housing policy; Housing prices; Instrumental variables; Panel data; Public transport; Remote work; Urban markets; Valuation</t>
  </si>
  <si>
    <t>He, Z.; Li, Z.; Cui, G.; Xu, Z.</t>
  </si>
  <si>
    <t>He, Zhihao (58803032400); Li, Zhuoqun (58863507400); Cui, Guanyun (59721724900); Xu, Ziyan (59379899700)</t>
  </si>
  <si>
    <t>From cost to creativity: Tracing the impact of housing affordability on innovation and entrepreneurship in urban China</t>
  </si>
  <si>
    <t>Habitat International</t>
  </si>
  <si>
    <t>160</t>
  </si>
  <si>
    <t>103382</t>
  </si>
  <si>
    <t>2</t>
  </si>
  <si>
    <t>10.1016/j.habitatint.2025.103382</t>
  </si>
  <si>
    <t>https://www.scopus.com/inward/record.uri?eid=2-s2.0-105001737412&amp;doi=10.1016%2Fj.habitatint.2025.103382&amp;partnerID=40&amp;md5=52c1f6146b1ccbb88c64e10df454b5da</t>
  </si>
  <si>
    <t>Renmin University of China, Beijing, China; City University of Hong Kong, College of Business, Hong Kong, Hong Kong; Institute of Applied Economics, Shanghai Academy of Social Sciences, Shanghai, China</t>
  </si>
  <si>
    <t>He, Zhihao, Renmin University of China, Beijing, China, City University of Hong Kong, College of Business, Hong Kong, Hong Kong; Li, Zhuoqun, Renmin University of China, Beijing, China; Cui, Guanyun, Renmin University of China, Beijing, China; Xu, Ziyan, Institute of Applied Economics, Shanghai Academy of Social Sciences, Shanghai, China</t>
  </si>
  <si>
    <t>Innovation and entrepreneurship are vital sources of a city's economic vigor, while housing affordability is crucial to the sustainable development of urban areas. Few studies have examined the effects of housing affordability on innovation and entrepreneurship. This study addresses this research gap by developing an analytical framework for housing affordability, innovation, and entrepreneurship. Using a city-level panel dataset covering the period 2011–2021, this study creates an indicator for housing affordability and examines its impact on innovation and entrepreneurship via a two-way fixed-effects model. The results demonstrate that housing affordability significantly promotes innovation and entrepreneurship, and that population agglomeration and industrial structure transformation positively mediate this relationship. Furthermore, heterogeneity analyses show that the positive effects of innovation and entrepreneurship on housing affordability are more pronounced in innovation-oriented cities, non-resource-based cities, and cities with higher administrative statuses. These insights carry important theoretical and policy implications for understanding the subtle effects of the housing market on urban economic development. © 2025 Elsevier Ltd</t>
  </si>
  <si>
    <t>Entrepreneurship; Housing affordability; Industrial structure transformation; Innovation; Population agglomeration</t>
  </si>
  <si>
    <t>agglomeration; analytical framework; entrepreneur; housing; industrial structure; innovation; urban development; China</t>
  </si>
  <si>
    <t>Elsevier Ltd</t>
  </si>
  <si>
    <t>Habitat Int.</t>
  </si>
  <si>
    <t>Yip, T.P.C.</t>
  </si>
  <si>
    <t>Yip, Tangi Puichi C. (59367142200)</t>
  </si>
  <si>
    <t>From dreams to high-risk housing navigation: Aspirations and strategies of university-educated young people</t>
  </si>
  <si>
    <t>Urban Studies</t>
  </si>
  <si>
    <t>10.1177/00420980251385863</t>
  </si>
  <si>
    <t>https://www.scopus.com/inward/record.uri?eid=2-s2.0-105021990303&amp;doi=10.1177%2F00420980251385863&amp;partnerID=40&amp;md5=2910e8f695bc651e2efc84871c4d983e</t>
  </si>
  <si>
    <t>Chinese University of Hong Kong, Hong Kong, Hong Kong</t>
  </si>
  <si>
    <t>Yip, Tangi Puichi C., Chinese University of Hong Kong, Hong Kong, Hong Kong</t>
  </si>
  <si>
    <t>In the context of escalating home prices and worsening affordability, accessing homeownership becomes increasingly challenging for young people worldwide. While predominant quantitative studies have examined young people’s housing transitions, less attention has been given to their subjective experience, perceptions and responses. This study focuses on housing aspirations – the interplay between housing preference and structural conditions – of university-educated young people, a group often perceived as having better advantages in securing homeownership. Drawing on in-depth interviews with 50 university-educated young people in Hong Kong, one of the most unaffordable housing markets, this study presents three key findings. First, a strong desire for homeownership persisted among most respondents, despite widespread frustration over their inability to attain it. Second, this pessimism stems from the convergence of a volatile housing market, precarious labour market conditions, and inadequate policy support. Third, respondents developed innovative, yet sometimes risky, strategies to pursue homeownership, including altering their career plans or engaging in high-risk investments. In the context of shrinking and increasingly unpredictable housing opportunities, young people are less inclined to solely rely on traditional pathways (such as stable employment) and instead lean towards riskier strategies to expedite their housing transition. These strategies are accompanied by complex and often conflicting emotions. Our findings carry important implications for housing practitioners and policymakers. © Urban Studies Journal Limited 2025</t>
  </si>
  <si>
    <t>Chinese society; homeownership; housing aspirations; housing barriers; housing strategies</t>
  </si>
  <si>
    <t>SAGE Publications Ltd</t>
  </si>
  <si>
    <t>Jokar, D.; KhakZand, M.</t>
  </si>
  <si>
    <t>Jokar, Dorna (57240673200); KhakZand, Mehdi (33467670300)</t>
  </si>
  <si>
    <t>Re_conceptualizing incremental housing within a sustainable development framework</t>
  </si>
  <si>
    <t>Journal of Housing and the Built Environment</t>
  </si>
  <si>
    <t>10.1007/s10901-025-10232-y</t>
  </si>
  <si>
    <t>https://www.scopus.com/inward/record.uri?eid=2-s2.0-105019515113&amp;doi=10.1007%2Fs10901-025-10232-y&amp;partnerID=40&amp;md5=a50e95aa5d832c734eb6bb0be444e217</t>
  </si>
  <si>
    <t>Louisiana State University, Baton Rouge, LA, United States; Iran University of Science and Technology, Tehran, Tehran, Iran</t>
  </si>
  <si>
    <t>Jokar, Dorna, Louisiana State University, Baton Rouge, LA, United States; KhakZand, Mehdi, Iran University of Science and Technology, Tehran, Tehran, Iran</t>
  </si>
  <si>
    <t>Incremental housing, characterized by step-by-step development and adaptability, is one of the approaches suggested in recent decades to improve the informal settlement housing situation. This research explores the concept of this approach as a sustainable development strategy. Using a grounded theory approach, the research systematically reviewed and coded evidence from literature, particularly studies reporting on globally implemented projects, to re-conceptualize incremental housing frameworks and align them with sustainability goals by addressing social engagement, economic feasibility, and environmental considerations. Key findings highlight that social sustainability in incremental housing necessitates active stakeholder involvement, with effective decision-making and partnerships essential for long-term success. Economic sustainability demands affordability and innovative financing solutions to overcome barriers and promote local economic development. Environmental sustainability requires addressing land accessibility issues, ensuring design flexibility, and considering both innovative and traditional materials to enhance quality and meet long-term housing needs. Based on these insights, the study proposes a Sustainable Incremental Housing Model, which synthesizes the three dimensions into a practical framework. Therefore, the proposed model provides a foundational framework for policymakers and planners, guiding the incremental implementation of sustainable incremental housing strategies and contributing to the broader goal of balanced and inclusive urban growth. © The Author(s), under exclusive licence to Springer Nature B.V. 2025.</t>
  </si>
  <si>
    <t>Government housing policy; Incremental housing; Informal settlements; Sustainable development</t>
  </si>
  <si>
    <t>Springer Science and Business Media B.V.</t>
  </si>
  <si>
    <t>Kamruzzaman, L.; Nikfalazar, S.; Huda, F.Y.; Arunachalam, D.; Lukose, D.</t>
  </si>
  <si>
    <t>Kamruzzaman, Liton (Md) (36811326000); Nikfalazar, Sanaz (56590049500); Huda, Fuad Yasin (55766438600); Arunachalam, Dharmalingam (6603134989); Lukose, Dickson (6603342131)</t>
  </si>
  <si>
    <t>Data Typologies in Urban Housing Research: A Systematic Review of the Literature</t>
  </si>
  <si>
    <t>11</t>
  </si>
  <si>
    <t>4809</t>
  </si>
  <si>
    <t>10.3390/su17114809</t>
  </si>
  <si>
    <t>https://www.scopus.com/inward/record.uri?eid=2-s2.0-105007752702&amp;doi=10.3390%2Fsu17114809&amp;partnerID=40&amp;md5=45a408be946dee019c95433e574a227e</t>
  </si>
  <si>
    <t>Monash University, Melbourne, VIC, Australia; Department of Human Centred Computing, Monash University, Melbourne, VIC, Australia; School of Social Sciences, Monash University, Melbourne, VIC, Australia; Monash University, Melbourne, VIC, Australia</t>
  </si>
  <si>
    <t>Kamruzzaman, Liton (Md), Monash University, Melbourne, VIC, Australia; Nikfalazar, Sanaz, Department of Human Centred Computing, Monash University, Melbourne, VIC, Australia; Huda, Fuad Yasin, Monash University, Melbourne, VIC, Australia; Arunachalam, Dharmalingam, School of Social Sciences, Monash University, Melbourne, VIC, Australia; Lukose, Dickson, Monash University, Melbourne, VIC, Australia</t>
  </si>
  <si>
    <t>The increasing digitalisation of housing markets has expanded the types and sources of data available for research. However, there is limited understanding of how these diverse data types are used across different themes in urban housing studies and which analytical approaches are applied. This study addresses these questions through a systematic review of 71 peer-reviewed studies published between 2010 and 2021, following PRISMA guidelines. The review identifies five dominant research themes: housing market analysis, rental market analysis, housing policy evaluation, housing affordability, and housing inequality. It also classifies five main data sources: official statistics, non-official statistics, surveys and qualitative data, big data, and social media. A cross-examination of themes and data types shows that official statistics remain the most frequently used across the themes, while emerging data sources such as big data and social media are underutilised—especially in research on informal housing and demand-side dynamics. Regression analysis and hedonic modelling are the most commonly applied analytical methods, with the choice of method largely shaped by research objectives and data types. By developing a cross-typology framework linking research themes, data sources, and methods, this study provides an evidence base for inclusive, responsive, and data-informed strategies that support socially and economically sustainable urban housing systems. © 2025 by the authors.</t>
  </si>
  <si>
    <t>analytical methods; big data; data sources; digital housing data; informal housing; systematic literature review; urban housing research</t>
  </si>
  <si>
    <t>analytical method; housing market; housing policy; informal sector; literature review; research work; social media; typology; urban housing</t>
  </si>
  <si>
    <t>Kilonzo, H.M.; Muriithi, M.; Ongeri, B.O.</t>
  </si>
  <si>
    <t>Kilonzo, Hilary Mati (59515743200); Muriithi, Moses Kinyanjui (55824830500); Ongeri, Benedicto Onkoba (59514979900)</t>
  </si>
  <si>
    <t>https://www.scopus.com/inward/record.uri?eid=2-s2.0-85215134782&amp;doi=10.1108%2FIJHMA-09-2024-0139&amp;partnerID=40&amp;md5=f4e58c9704a9fbd7f7ded7014951a07b</t>
  </si>
  <si>
    <t>Department of Economics, University of Nairobi, Nairobi, Nairobi, Kenya</t>
  </si>
  <si>
    <t>Kilonzo, Hilary Mati, Department of Economics, University of Nairobi, Nairobi, Nairobi, Kenya; Muriithi, Moses Kinyanjui, Department of Economics, University of Nairobi, Nairobi, Nairobi, Kenya; Ongeri, Benedicto Onkoba, Department of Economics, University of Nairobi, Nairobi, Nairobi, Kenya</t>
  </si>
  <si>
    <t>Purpose: Housing finance is frequently difficult to provide in developing nations due to unstable macroeconomic conditions and a lack of supportive legal, technological and regulatory frameworks (Lea and Bernstein, 1996). Governments in these countries have, therefore, created a range of organizations and initiatives to improve the flow of capital to the housing market on a footing that is affordable to their populations given the household income levels (Ram and Needham, 2016). Housing, however, is by its very nature a significant investment requiring a considerable capital outlay at the onset (Dasgupta et al., 2014). This makes acquiring it challenging, particularly in underdeveloped nations where saving tendencies are quite low partly because of low-income levels (Keller and Mukudi-Omwami, 2017). As a result, many developing nations struggle with severe housing issues that lead to slums, overcrowding and related health issues. Design/methodology/approach: The theoretical model for analyzing housing finance in Kenya in this study incorporates both demand and supply aspects, drawing from Brueckner’s (1994) framework. This model divides factors influencing demand into certainty and uncertainty conditions faced by households. In terms of certainty, the model considers factors that households can predict reliably. First is income, households are assumed to have stable income, allowing accurate assessment of budget constraints and mortgage decisions. Second is interest rates. While interest rates fluctuate, the model assumes that households have information about current rates, enabling informed decision-making. Finally, existing housing costs, such as rent or mortgage payments, are treated as fixed and predictable, facilitating accurate budget planning. Conversely, uncertainty factors include future income, future interest rates and housing prices. Households face uncertainty regarding future income, which can impact their mortgage repayment ability due to job market changes or unforeseen events. The model does not predict future interest rate changes, which can affect the affordability of mortgages. Furthermore, future fluctuations in housing prices add uncertainty to the benefits of homeownership and mortgage debt. Due to these uncertainties, the model in this study assumes certainty conditions, focusing on households maximizing their utility. In Brueckner’s model, a utility function captures household preferences and well-being linked to consumption choices, specifically between housing (H) and nonhousing goods (N). The utility function helps determine optimal income allocation, influenced by income (M), prices (P) and return on savings (t). The utility maximization problem involves selecting optimal amounts of housing and nonhousing consumption while managing housing credit (C). Findings: The study confirms a significant long-run relationship between house finance and several macroeconomic variables, including interest rates on credit, inflation, unemployment and gross domestic product (GDP). The negative and significant error correction term indicates the presence of an equilibrium relationship, suggesting that the housing finance market in Kenya self-corrects swiftly in response to economic shocks. This efficiency could be attributed to increasing competition among financial institutions or a growing public awareness of housing finance options, implying a relatively well-developed market. Such responsiveness suggests that government policies aimed at influencing housing finance might have a quicker impact. For instance, introducing subsidies to reduce credit rates could rapidly boost housing finance activity (World Bank, 2019). However, the flip side of a fast-adjusting market is potential volatility, where rapid swings in economic factors could lead to significant fluctuations in housing finance availability, posing risks for both lenders and borrowers (Braun et al., 2022). Moreover, a rapid adjustment might not necessarily reflect a perfectly healthy market";" it could indicate underlying issues like speculation or easy access to credit, potentially leading to bubbles or financial instability (Agnello et al., 2020). Originality/value: This study reveals key insights into the determinants of housing finance in Kenya, demonstrating a significant long-run relationship between housing finance and economic variables such as interest rates, inflation, unemployment and GDP. The efficient adjustment of the housing finance market to economic changes suggests that government policies can rapidly influence housing finance, although this responsiveness also implies potential volatility and risks, including financial instability. Policymakers should, therefore, focus on maintaining macroeconomic stability and monitoring the housing market for signs of overheating. Encouraging competition among lenders and diversifying housing finance products can help ensure sustainable market adjustments. Credit interest rates show a modest but positive relationship with housing finance, suggesting that a stable lending environment could stimulate activity. Policymakers should manage credit availability to prevent excessive expansion and instability, enhancing financial inclusion and fostering competition in the banking sector. Inflation positively impacts housing finance, with rising inflation driving demand for real assets like housing. However, significant interest rate hikes by the Central Bank to combat inflation could reduce mortgage affordability. A flexible interest rate policy, along with targeted interventions like subsidized rates for first-time buyers, is necessary to balance market stimulation with inflation control. Unemployment’s negative impact on housing finance underscores the need for robust unemployment benefits and job training initiatives to support financial stability during job losses. Targeted housing finance programs for low- and middle-income earners can also improve mortgage accessibility. The positive correlation between GDP growth and housing finance indicates that economic expansion drives housing demand. Policymakers should prioritize initiatives that promote long-term economic growth, such as infrastructure development and innovation. Finally, the insignificance of savings interest rates in influencing housing finance suggests that traditional monetary policy may have limited effects. Promoting financial literacy and developing tailored savings instruments could strengthen the connection between savings and housing finance over time. © 2024, Emerald Publishing Limited.</t>
  </si>
  <si>
    <t>Kim, Y.E.; Kim, S.; Lee, J.S.</t>
  </si>
  <si>
    <t>Kim, Young-eun (59926681400); Kim, Saehoon (55893488100); Lee, Jae Seung (55317676800)</t>
  </si>
  <si>
    <t>Economic prosperity characteristics in depopulating cities: evidence from 146 cities in South Korea</t>
  </si>
  <si>
    <t>Annals of Regional Science</t>
  </si>
  <si>
    <t>74</t>
  </si>
  <si>
    <t>62</t>
  </si>
  <si>
    <t>10.1007/s00168-025-01388-0</t>
  </si>
  <si>
    <t>https://www.scopus.com/inward/record.uri?eid=2-s2.0-105007207510&amp;doi=10.1007%2Fs00168-025-01388-0&amp;partnerID=40&amp;md5=f41fac8c97859ce7b44bdbc4ff12d5f4</t>
  </si>
  <si>
    <t>Department of Urban Design and Planning, Hongik University, Seoul, South Korea; Dept. of Environmental Design - Urban Design Major, Seoul National University, Seoul, South Korea; Seoul National University, Seoul, South Korea</t>
  </si>
  <si>
    <t>Kim, Young-eun, Department of Urban Design and Planning, Hongik University, Seoul, South Korea; Kim, Saehoon, Dept. of Environmental Design - Urban Design Major, Seoul National University, Seoul, South Korea, Seoul National University, Seoul, South Korea; Lee, Jae Seung, Dept. of Environmental Design - Urban Design Major, Seoul National University, Seoul, South Korea, Seoul National University, Seoul, South Korea</t>
  </si>
  <si>
    <t>Many cities worldwide achieving economic growth despite population declines can be classified as complementary economic growth (CEG) cities. These cities outperform in economic growth relative to their population decrease; yet, the factors enabling their prosperity amid population loss remain underexplored. To address this gap, an analysis was conducted on 146 South Korean cities using demographic, economic, social, and physical indicators, utilizing descriptive statistics and multinomial logistic regression. This study aims to identify the unique factors and characteristics that set CEG cities apart from traditional urban growth or shrinkage models. The findings highlight that knowledge-intensive services (KIS) industries drive economic growth in CEG cities, while high housing prices significantly contribute to population decline. Despite job availability, corporate presence, and tourism vibrancy, CEG cities' prosperity depends on the interplay between KIS industries and housing affordability challenges. This research contributes to the discourse on urban and regional development by demonstrating that population decline need not preclude economic growth. The study emphasizes the need for policymakers to leverage the economic potential of CEG cities by fostering KIS industries, addressing housing affordability, and formulating adaptive urban policies. These findings offer valuable insights for tackling the intertwined challenges of population decline and economic sustainability, positioning CEG cities as critical models for innovative urban strategies. © The Author(s), under exclusive licence to Springer-Verlag GmbH Germany, part of Springer Nature 2025.</t>
  </si>
  <si>
    <t>economic growth; population decline; regional development; sustainability; urban development; urban economy; urban growth; urban population; South Korea</t>
  </si>
  <si>
    <t>Springer Science and Business Media Deutschland GmbH</t>
  </si>
  <si>
    <t>Ann. Reg. Sci.</t>
  </si>
  <si>
    <t>Le, D.; Rajasegarar, S.; Luo, W.; Nguyen, T.T.; Angelova, M.</t>
  </si>
  <si>
    <t>Le, Dat (59553923300); Rajasegarar, Sutharshan (23478300900); Luo, Wei (57218392471); Nguyen, Thanh Thi (57212284000); Angelova, Maia N. (7004925959)</t>
  </si>
  <si>
    <t>Enhancing real estate prediction with entropy-based pattern analysis and economic sentiment integration</t>
  </si>
  <si>
    <t>Engineering Computations</t>
  </si>
  <si>
    <t>24</t>
  </si>
  <si>
    <t>10.1108/EC-09-2024-0895</t>
  </si>
  <si>
    <t>https://www.scopus.com/inward/record.uri?eid=2-s2.0-105024600828&amp;doi=10.1108%2FEC-09-2024-0895&amp;partnerID=40&amp;md5=81fd161a5dba17c4b7f481c5f9081f13</t>
  </si>
  <si>
    <t>School of Information Technology, Deakin University, Geelong, VIC, Australia; Monash University, Melbourne, VIC, Australia; Aston University, Birmingham, West Midlands, United Kingdom</t>
  </si>
  <si>
    <t>Le, Dat, School of Information Technology, Deakin University, Geelong, VIC, Australia; Rajasegarar, Sutharshan, School of Information Technology, Deakin University, Geelong, VIC, Australia; Luo, Wei, School of Information Technology, Deakin University, Geelong, VIC, Australia; Nguyen, Thanh Thi, Monash University, Melbourne, VIC, Australia; Angelova, Maia N., Aston University, Birmingham, West Midlands, United Kingdom</t>
  </si>
  <si>
    <t>Purpose – The purpose of this research is to improve real estate market forecasting by introducing an innovative entropy-based multivariate clustering technique, Jensen–Shannon Time Series Segmentation (JSTS). The approach is designed to be integrated with advanced deep learning models such as Transformer, TSMixer, N-HiTS and LSTM, while incorporating key economic features such as consumer price index (CPI), sentiment analysis from headline news and real estate price and volume data to capture complex market dynamics. Design/methodology/approach – This study applies the JSTS clustering technique on a real dataset comprising Australian real estate market data, including property prices, volumes, CPI and sentiment scores derived from headline news. Advanced deep learning models such as Transformer, TSMixer, N-HiTS and LSTM are used for forecasting, and performance is compared against traditional clustering methods like weighted dynamic time warping (WDTW) and standalone forecasting models such as Autoregressive Integrated Moving Average (ARIMA). The models are evaluated based on forecasting accuracy metrics, including MAPE, RMSE and MASE. Findings – The experimental results show that the integration of JSTS clustering with advanced forecasting models significantly enhances the prediction accuracy compared to both traditional clustering methods and standalone forecasting models like ARIMA. The inclusion of sentiment from headline news further improves forecasting by providing real-time market sentiment insights, enabling the models to better capture market trends and behavioral shifts. Research limitations/implications – While the proposed JSTS clustering method significantly improves forecasting accuracy, there are limitations in its computational complexity, especially when applied to large-scale, high-frequency datasets. The clustering process introduces additional computational overhead, which may require optimization for real-time applications. Further research is needed to explore the scalability of the JSTS approach across other domains such as stock markets or healthcare. Additionally, the model may require fine-tuning and domain expertise to adapt to varying market conditions, especially in different geographical regions. Practical implications – The integration of sentiment analysis from headline news with economic indicators such as price, volume and CPI in real estate forecasting provides actionable insights for investors, developers and policymakers. By improving prediction accuracy, the proposed framework can support better decision-making in the real estate sector, helping stakeholders to anticipate market trends, assess risks and optimize investments. This methodology can also be adapted for use in other financial markets or sectors where time series data and sentiment analysis are key factors. Social implications – Accurate forecasting of real estate markets has significant social implications, as it influences housing affordability, urban development and financial stability. By improving prediction models, this research can contribute to more informed policies regarding housing, economic planning and real estate investments. Additionally, incorporating sentiment analysis reflects the impact of public opinion and economic sentiment on market dynamics, potentially offering better tools for understanding market behaviors during periods of social or economic instability, such as during pandemics or financial crises. Originality/value – This research presents a novel framework by combining JSTS clustering with state-of-the-art deep learning forecasting models and incorporating headline news sentiment into the prediction process. The method outperforms traditional approaches, offering a more accurate and robust solution for real estate time series forecasting, particularly in the volatile and complex Australian market. The integration of sentiment analysis into a multivariate framework is a key innovation, providing a deeper understanding of market behaviors. © 2025 Emerald Publishing Limited</t>
  </si>
  <si>
    <t>Deep learning; Economic indicators; Market prediction; Real estate forecasting; Sentiment analysis; Time series clustering</t>
  </si>
  <si>
    <t>Autoregressive moving average model; Behavioral research; Cluster analysis; Clustering algorithms; Commerce; Costs; Economic analysis; Electronic trading; Forecasting; Integration; Investments; Large datasets; Learning systems; Market Research; Time series; Time series analysis; Deep learning; Economic indicators; Forecasting models; Market prediction; Real estate forecasting; Real-estates; Sentiment analysis; Shannon; Time series clustering; Time-series segmentation</t>
  </si>
  <si>
    <t>Eng. Comput. (Swansea Wales)</t>
  </si>
  <si>
    <t>Li, C.; He, S.</t>
  </si>
  <si>
    <t>Li, Chenxi (57226665236); He, Shenjing (8621446800)</t>
  </si>
  <si>
    <t>Remaking urban periphery through developing long-term rental community: marketisation of collective land under state-led financialisation</t>
  </si>
  <si>
    <t>163</t>
  </si>
  <si>
    <t>103482</t>
  </si>
  <si>
    <t>10.1016/j.habitatint.2025.103482</t>
  </si>
  <si>
    <t>https://www.scopus.com/inward/record.uri?eid=2-s2.0-105008547434&amp;doi=10.1016%2Fj.habitatint.2025.103482&amp;partnerID=40&amp;md5=804a9d641a5c6186b914b43b98f23394</t>
  </si>
  <si>
    <t>Urban Systems Institute, The University of Hong Kong, Hong Kong, Hong Kong; Department of Urban Planning and Design, The University of Hong Kong, Hong Kong, Hong Kong</t>
  </si>
  <si>
    <t>Li, Chenxi, Urban Systems Institute, The University of Hong Kong, Hong Kong, Hong Kong, Department of Urban Planning and Design, The University of Hong Kong, Hong Kong, Hong Kong; He, Shenjing, Urban Systems Institute, The University of Hong Kong, Hong Kong, Hong Kong, Department of Urban Planning and Design, The University of Hong Kong, Hong Kong, Hong Kong</t>
  </si>
  <si>
    <t>China has experienced a significant influx of institutional investors in the rental housing sector, facilitated by state-led financialisation and institutional innovation in land and housing markets - particularly through the development of long-term rental community (LRC). Yet scholarly attention has largely overlooked the ongoing rural collective land reform and the financialisation of rental housing through the LRC development in megacities. Drawing on policy analysis and an in-depth case study of a representative LRC in Beijing, this study yields three principal findings: First, the recent proliferation of LRCs on collective land stems from adaptive institutional innovations that combine land market reforms with rental housing initiatives to mitigate affordability crises. Second, state-led financialisation channels - enabled by deliberate state policies - serve as practical political-economic instruments for broader urban crisis management. Third, LRCs are transforming urban peripheries by regenerating derelict landscapes while simultaneously creating socially isolated enclaves for young people. The present study offers insights into the mechanisms and outcomes of LRC development on collective land and informs policy adjustments to youth housing insecurity. Theoretically, it advances our understanding of the multifaceted nature of state-led financialisation by establishing a link between the marketisation of rural collective land and the financialisation of rental housing, highlighting how state-led financialisation channels play a crucial role in managing crises emerging from the land and housing market. © 2025 Elsevier Ltd</t>
  </si>
  <si>
    <t>Beijing; collective land; institutional investor; long-term rental community; state-led financialisation; state-owned enterprise</t>
  </si>
  <si>
    <t>housing market; investment; land market; rental sector; state owned enterprise; urban economy; Beijing [Beijing (ADS)]; Beijing [China]; China</t>
  </si>
  <si>
    <t>Liu, F.; Liang, C.</t>
  </si>
  <si>
    <t>Liu, Fang (58732803200); Liang, Chen (58732803300)</t>
  </si>
  <si>
    <t>Exploring Chinese house prices affordability in the context of confucian culture</t>
  </si>
  <si>
    <t>PLOS ONE</t>
  </si>
  <si>
    <t>20</t>
  </si>
  <si>
    <t>6 June</t>
  </si>
  <si>
    <t>e0325274</t>
  </si>
  <si>
    <t>10.1371/journal.pone.0325274</t>
  </si>
  <si>
    <t>https://www.scopus.com/inward/record.uri?eid=2-s2.0-105007063608&amp;doi=10.1371%2Fjournal.pone.0325274&amp;partnerID=40&amp;md5=e2fda00bea97ca18e65cdb528a12a5b4</t>
  </si>
  <si>
    <t>School of Economics, Changzhou University, Changzhou, Jiangsu, China; College of Financial Technology, Shenzhen University, Shenzhen, Guangdong, China</t>
  </si>
  <si>
    <t>Liu, Fang, School of Economics, Changzhou University, Changzhou, Jiangsu, China; Liang, Chen, College of Financial Technology, Shenzhen University, Shenzhen, Guangdong, China</t>
  </si>
  <si>
    <t>Considering the notable influence of traditional Confucian culture on China’s housing market, this study introduces an innovative index to quantify the magnitude of the real estate bubble within China, employing a familial generational iterative model. Utilizing rent-buy policy as a conceptual framework, our research constructs a difference-in-differences model to investigate the impact of macroeconomic policies on the housing bubble phenomenon. Empirical observations from 2022 reveal pronounced bubble dynamics in first and second-tier cities, while housing prices in third and fourth-tier cities, alongside select fifth-tier cities, exhibit a declining trend. On a national scale, apart from minor affordability observed during 2005–2007, no significant affordability was identified in other years, with the housing price bubble index demonstrating a downward trajectory from 2020 to 2022. Furthermore, the implementation of the rent-buy policy that equality the rights of renter and owner has directly influenced the housing market, notably mitigating the overall escalation of housing prices. Additional analysis indicates that the rent-and-buy policy has been more successful in curbing price hikes in newly constructed and smaller-sized housing units compared to second-hand and larger-scale properties. © 2025 Liu, Liang. This is an open access article distributed under the terms of the Creative Commons Attribution License, which permits unrestricted use, distribution, and reproduction in any medium, provided the original author and source are credited.</t>
  </si>
  <si>
    <t>article; China; Chinese; conceptual framework; Confucian; cultural anthropology; housing; open access publishing; price; real estate; real estate market</t>
  </si>
  <si>
    <t>Public Library of Science</t>
  </si>
  <si>
    <t>Plos One.</t>
  </si>
  <si>
    <t>Maalsen, S.; Dowling, R.; McGuirk, P.; Baker, T.; Goh, L.</t>
  </si>
  <si>
    <t>Maalsen, Sophia (57193780226); Dowling, Robyn (7102921193); McGuirk, Pauline M. (7004200352); Baker, Tom (55763271900); Goh, Laura (59701264600)</t>
  </si>
  <si>
    <t>Prototyping as a Means to Innovate Affordable Housing Policies and Provision: An Empirical Illustration</t>
  </si>
  <si>
    <t>Housing, Theory and Society</t>
  </si>
  <si>
    <t>42</t>
  </si>
  <si>
    <t>539</t>
  </si>
  <si>
    <t>553</t>
  </si>
  <si>
    <t>10.1080/14036096.2025.2480133</t>
  </si>
  <si>
    <t>https://www.scopus.com/inward/record.uri?eid=2-s2.0-105000488743&amp;doi=10.1080%2F14036096.2025.2480133&amp;partnerID=40&amp;md5=921e89674af8a434ba3a152284d3bc55</t>
  </si>
  <si>
    <t>School of Architecture, The University of Sydney, Sydney, NSW, Australia; School of Geography and Sustainable Communities, University of Wollongong, Wollongong, NSW, Australia; School of Environment, University of Auckland, Auckland, AUK, New Zealand; School of the Built Environment, UNSW Sydney, Sydney, NSW, Australia</t>
  </si>
  <si>
    <t>Maalsen, Sophia, School of Architecture, The University of Sydney, Sydney, NSW, Australia; Dowling, Robyn, School of Architecture, The University of Sydney, Sydney, NSW, Australia; McGuirk, Pauline M., School of Geography and Sustainable Communities, University of Wollongong, Wollongong, NSW, Australia; Baker, Tom, School of Environment, University of Auckland, Auckland, AUK, New Zealand; Goh, Laura, School of the Built Environment, UNSW Sydney, Sydney, NSW, Australia</t>
  </si>
  <si>
    <t>In the face of rising housing affordability challenges, a diverse range of stakeholders are increasingly looking to alternative forms of housing provision and policy, and in particular, a turn to more explicitly experimental and design-inflected approaches. The process of prototyping is one of these. In this paper, we look at how prototyping is being used to address housing affordability in two ways. The first draws upon prototyping’s innovation and design thinking lineage to prototype affordable housing policy. The second example is the use of prototyping to refashion assemblages of finance, regulation, consumer behaviour and built form to enable affordable housing provision. Across these examples, prototyping emerges as a practice of anticipating and prefiguring futures in which the challenge of affordable housing is more successfully addressed. © 2025 The Author(s). Published by Informa UK Limited, trading as Taylor &amp; Francis Group.</t>
  </si>
  <si>
    <t>affordable housing; alternative housing models; housing policy; housing provision; Prototype</t>
  </si>
  <si>
    <t>affordable housing; empirical analysis; housing policy; housing provision</t>
  </si>
  <si>
    <t>Moulton, S.; Perry, V.; Golding, E.; Wachter, S.; Zhu, J.; Choi, J.; Zinn, A.</t>
  </si>
  <si>
    <t>Moulton, Stephanie (33568145300); Perry, Vanessa Gail (7101787948); Golding, Edward L. (57222076387); Wachter, Susan M. (7006097853); Zhu, Jun (56296974400); Choi, Jung (59749649100); Zinn, Amalie (59749649200)</t>
  </si>
  <si>
    <t>Thinking Outside the Credit Box: Strategies to Advance Equity in the Housing Finance System</t>
  </si>
  <si>
    <t>Housing Policy Debate</t>
  </si>
  <si>
    <t>35</t>
  </si>
  <si>
    <t>551</t>
  </si>
  <si>
    <t>10.1080/10511482.2025.2479464</t>
  </si>
  <si>
    <t>https://www.scopus.com/inward/record.uri?eid=2-s2.0-105003197964&amp;doi=10.1080%2F10511482.2025.2479464&amp;partnerID=40&amp;md5=6645aedfffad0007d4cd4900456ad63a</t>
  </si>
  <si>
    <t>Housing Finance Policy Center, The Ohio State University, Columbus, OH, United States; GW School of Business, Washington, D.C., United States; Massachusetts Institute of Technology, Cambridge, MA, United States; Wharton School of the University of Pennsylvania, Philadelphia, PA, United States; Indiana University Bloomington, Bloomington, IN, United States; Urban Institute, North Andover, MA, United States</t>
  </si>
  <si>
    <t>Moulton, Stephanie, Housing Finance Policy Center, The Ohio State University, Columbus, OH, United States; Perry, Vanessa Gail, GW School of Business, Washington, D.C., United States; Golding, Edward L., Massachusetts Institute of Technology, Cambridge, MA, United States; Wachter, Susan M., Wharton School of the University of Pennsylvania, Philadelphia, PA, United States; Zhu, Jun, Indiana University Bloomington, Bloomington, IN, United States, Urban Institute, North Andover, MA, United States; Choi, Jung, Urban Institute, North Andover, MA, United States; Zinn, Amalie, Urban Institute, North Andover, MA, United States</t>
  </si>
  <si>
    <t>What would it take to increase homeownership rates and close the racial homeownership gap in the U.S.? In this paper, a group of interdisciplinary housing policy scholars provide their collective insights on this question. They highlight the limitations of current approaches and describe potential product and institutional innovations to the housing finance system that may help close the racial homeownership gap. © 2025 The Author(s). Published by Informa UK Limited, trading as Taylor &amp; Francis Group.</t>
  </si>
  <si>
    <t>affordability; credit; Homeownership; mortgages</t>
  </si>
  <si>
    <t>Nwachukwu, L.; Obi, L.; Akotia, J.</t>
  </si>
  <si>
    <t>Nwachukwu, Lilian (58617406500); Obi, Lovelin Ifeoma (57195319129); Akotia, Julius (56426568100)</t>
  </si>
  <si>
    <t>Addressing housing affordability in Nigeria through incremental housing: an evaluation of the Millard Fuller Foundation (MFF) model</t>
  </si>
  <si>
    <t>Cogent Social Sciences</t>
  </si>
  <si>
    <t>2588049</t>
  </si>
  <si>
    <t>10.1080/23311886.2025.2588049</t>
  </si>
  <si>
    <t>https://www.scopus.com/inward/record.uri?eid=2-s2.0-105022444519&amp;doi=10.1080%2F23311886.2025.2588049&amp;partnerID=40&amp;md5=7bbb13a1cc54b92fb013dfe662a923af</t>
  </si>
  <si>
    <t>Construction and Built Environment, Leeds Trinity University, Leeds, West Yorkshire, United Kingdom</t>
  </si>
  <si>
    <t>Nwachukwu, Lilian, Construction and Built Environment, Leeds Trinity University, Leeds, West Yorkshire, United Kingdom; Obi, Lovelin Ifeoma, Construction and Built Environment, Leeds Trinity University, Leeds, West Yorkshire, United Kingdom; Akotia, Julius, Construction and Built Environment, Leeds Trinity University, Leeds, West Yorkshire, United Kingdom</t>
  </si>
  <si>
    <t>Access to affordable housing remains one of Nigeria’s most pressing urban challenges, especially for low-income earners, who are excluded from formal housing markets due to limited financial capacity. This study evaluates the incremental housing model developed by the Millard Fuller Foundation (MFF), the only known example of a formally structured private sector-led initiative in Nigeria. Using a qualitative case study approach, the research draws on in-depth interviews conducted with a senior MFF representative and 16 resident households to examine the model’s design strategies, affordability mechanisms, implementation challenges, and user experiences. The findings reveal that the MFF’s approach, which focuses on shell-and-core construction, cooperative-based financing, and flexible payment structures, offers a viable pathway to homeownership for low- to middle-income earners. However, it fails to reach the poorest segments due to persistent affordability barriers. This study contributes novel insights into the institutionalisation of incremental housing in Nigeria and highlights the importance of policy support to scale such a model for broader impact. The MFF model offers valuable lessons for policymakers, developers, and housing advocates seeking innovative solutions to Nigeria’s affordable housing crisis. © 2025 The Author(s). Published by Informa UK Limited, trading as Taylor &amp; Francis Group.</t>
  </si>
  <si>
    <t>Affordable housing; demand capacity; housing policy; incremental housing; low-income housing; Millard Fuller Foundation</t>
  </si>
  <si>
    <t>Cogent OA</t>
  </si>
  <si>
    <t>Cogent Soc. Sci.</t>
  </si>
  <si>
    <t>Pareja-Eastaway, M.</t>
  </si>
  <si>
    <t>Pareja-Eastaway, Montserrat (6506419811)</t>
  </si>
  <si>
    <t>Housing as the Fifth Pillar of the Welfare State: Why Spain Needs Structural Reform</t>
  </si>
  <si>
    <t>Political Quarterly</t>
  </si>
  <si>
    <t>10.1111/1467-923X.13550</t>
  </si>
  <si>
    <t>https://www.scopus.com/inward/record.uri?eid=2-s2.0-105006920960&amp;doi=10.1111%2F1467-923X.13550&amp;partnerID=40&amp;md5=74c778c227a904bb7dde1caaa2a9e36a</t>
  </si>
  <si>
    <t>Universitat de Barcelona, Barcelona, Barcelona, Spain</t>
  </si>
  <si>
    <t>Pareja-Eastaway, Montserrat, Universitat de Barcelona, Barcelona, Barcelona, Spain</t>
  </si>
  <si>
    <t>Spain's ongoing housing crisis reflects the cumulative effects of fragmented governance, underinvestment and financialisation. Despite recent reforms, structural challenges persist, threatening affordability and social inclusion. This article diagnoses the roots of Spain's housing failures, explores pathways for systemic reform and argues that housing must be reframed as the fifth pillar of the welfare state. Drawing on international models and political economy insights, it proposes measures to realign market incentives with social needs, strengthen public leadership and expand innovative housing models. It concludes that only a long-term, coordinated strategy can ensure equitable access to housing in Spain. © 2025 The Author(s). The Political Quarterly published by John Wiley &amp; Sons Ltd on behalf of The Political Quarterly Publishing Co. Ltd.</t>
  </si>
  <si>
    <t>financialisation; housing policy; social housing; Spain; structural reform; welfare state</t>
  </si>
  <si>
    <t>John Wiley and Sons Inc</t>
  </si>
  <si>
    <t>Polit. Q.</t>
  </si>
  <si>
    <t>Rana, K.</t>
  </si>
  <si>
    <t>Rana, Kritika (57612720700)</t>
  </si>
  <si>
    <t>Sustainable Housing as a Social Determinant of Health and Wellbeing</t>
  </si>
  <si>
    <t>7519</t>
  </si>
  <si>
    <t>10.3390/su17167519</t>
  </si>
  <si>
    <t>https://www.scopus.com/inward/record.uri?eid=2-s2.0-105014296871&amp;doi=10.3390%2Fsu17167519&amp;partnerID=40&amp;md5=f51f3453f41cdd8515883ba8331ffa7d</t>
  </si>
  <si>
    <t>Translational Health Research Institute, Western Sydney University, Penrith, NSW, Australia; Philanthropy Research Collaboration, Auburn, NSW, Australia</t>
  </si>
  <si>
    <t>Rana, Kritika, Translational Health Research Institute, Western Sydney University, Penrith, NSW, Australia, Philanthropy Research Collaboration, Auburn, NSW, Australia</t>
  </si>
  <si>
    <t>Sustainable housing is increasingly recognized as a crucial social determinant of health, intersecting environmental sustainability with affordability, safety, and inclusivity to shape population health and equity. This paper reviews the existing literature and presents that integrating sustainable housing into public health frameworks can mitigate health risks, reduce inequities, and promote resilient urban futures. This review paper reframes sustainable housing through a holistic lens, emphasizing its potential to improve health through inclusive design, energy efficiency, green infrastructure, and affordability. Theoretically grounded in the Social Determinants of Health framework, Ecological Systems Theory, Environmental Health Theory, and Life Course Perspective, sustainable housing is shown to influence health outcomes across multiple levels and life stages. Empirical studies further validate these connections, demonstrating improved physical and mental health, particularly among vulnerable populations, when sustainable housing features are implemented. While these benefits span multiple health domains, persistent implementation challenges related to equity, financing, and policy coherence can limit their reach. Equity-centered approaches and cross-sector collaboration are essential to ensure the health benefits of sustainable housing are distributed fairly. Climate-resilient design strategies further underscore the role of housing in protecting communities against growing environmental threats. Furthermore, research priorities are required to strengthen the evidence base, including studies utilizing longitudinal study designs and participatory approaches. The findings of this review call for policy innovations that embed sustainable housing within broader public health and urban development agendas. © 2025 by the author.</t>
  </si>
  <si>
    <t>built environment; climate change; health equity; housing inequality; social determinants of health; sustainability; urban planning; urbanization</t>
  </si>
  <si>
    <t>climate change; equity; public health; social housing; sustainability; urban development; urban planning; urbanization</t>
  </si>
  <si>
    <t>Rouhana, F.; Bagtzoglou, A.C.; Zhu, J.</t>
  </si>
  <si>
    <t>Rouhana, Francesco (57211212449); Bagtzoglou, A. C. (7003300087); Zhu, Jin (56136242800)</t>
  </si>
  <si>
    <t>Bridging Vehicle-to-Home Technology and Equity: Enhancing Household Resilience for Disaster Preparedness and Response</t>
  </si>
  <si>
    <t>8052</t>
  </si>
  <si>
    <t>10.3390/su17178052</t>
  </si>
  <si>
    <t>https://www.scopus.com/inward/record.uri?eid=2-s2.0-105015730643&amp;doi=10.3390%2Fsu17178052&amp;partnerID=40&amp;md5=587a5350b3f3dfca52c51b1028213298</t>
  </si>
  <si>
    <t>UConn College of Engineering, Storrs, CT, United States; School of Civil Engineering, Southeast University, Nanjing, Jiangsu, China</t>
  </si>
  <si>
    <t>Rouhana, Francesco, UConn College of Engineering, Storrs, CT, United States; Bagtzoglou, A. C., UConn College of Engineering, Storrs, CT, United States; Zhu, Jin, School of Civil Engineering, Southeast University, Nanjing, Jiangsu, China</t>
  </si>
  <si>
    <t>This paper explores the potential of Electric Vehicle (EV) Vehicle-to-Home (V2H) technology to enhance household resilience during extreme weather events, integrating socio-economic, technical, and human rights perspectives. V2H technology enables EVs to provide backup power during outages, offering a promising solution for disaster preparedness and response. However, widespread adoption of this technology faces barriers shaped by socio-economic disparities, including income, housing, education, and access to infrastructure, as well as human decisions related to EV ownership, V2H utilization, and evacuation behaviors. To investigate these challenges, this study adopts a qualitative review of existing literature and policy frameworks, critically analyzing how social vulnerabilities and adoption barriers influence the effectiveness of V2H in improving household-level disaster resilience. The findings indicate that while V2H technology can significantly support disaster resilience, its benefits are contingent on equitable access, affordability, and public awareness. To maximize its potential, various public and private stakeholders must adopt equity-driven strategies that align technological innovation with socio-economic inclusion. This paper highlights the need for cross-sector collaboration to ensure V2H systems reach underserved and marginalized communities, advocating for policies that prioritize both technological advancement and distributive justice. © 2025 by the authors.</t>
  </si>
  <si>
    <t>accessibility; community resilience; equity; EVs; power outages; V2H</t>
  </si>
  <si>
    <t>electric vehicle; equity; extreme event; household survey; human rights; innovation; socioeconomic impact; stakeholder; technological development</t>
  </si>
  <si>
    <t>Sabah, F.Y.</t>
  </si>
  <si>
    <t>Sabah, Faisal Yousef (58772943800)</t>
  </si>
  <si>
    <t>Global approaches to affordable housing: comparative insights from developed and developing countries and the case of Palestine</t>
  </si>
  <si>
    <t>Frontiers in Built Environment</t>
  </si>
  <si>
    <t>1653057</t>
  </si>
  <si>
    <t>10.3389/fbuil.2025.1653057</t>
  </si>
  <si>
    <t>https://www.scopus.com/inward/record.uri?eid=2-s2.0-105023685950&amp;doi=10.3389%2Ffbuil.2025.1653057&amp;partnerID=40&amp;md5=1570c27fdfa373f6a50c6f3fdd0fddf1</t>
  </si>
  <si>
    <t>Faculty of Information Technology, Arab American University, Palestine, Jenin, West Bank, Palestine</t>
  </si>
  <si>
    <t>Sabah, Faisal Yousef, Faculty of Information Technology, Arab American University, Palestine, Jenin, West Bank, Palestine</t>
  </si>
  <si>
    <t>Affordable housing remains one of the most pressing global policy challenges, with strategies and constraints differing significantly between developed and developing contexts. This study employs a comparative policy analysis of six case countries United States, Germany, Japan, India, Brazil, and South Africa to examine how diverse socio-economic and political settings shape housing strategies. The analysis focuses on key factors influencing affordability, including regulatory frameworks, financial mechanisms, community participation, and innovation in addressing local needs. In Palestine, the interaction of political conflict, land restrictions, and economic constraints creates a unique and highly constrained housing environment that requires context-specific responses. The study indicates that developed countries benefit from structured public–private partnerships and robust regulatory frameworks, whereas developing countries rely more on community-driven initiatives and flexible financing models. Lessons from this comparative analysis can inform global policymakers by emphasizing resilience, inclusivity, and sustainability in housing policies, with particular relevance for improving affordability in conflict-affected and economically constrained settings such as Palestine. © © 2025 Sabah.</t>
  </si>
  <si>
    <t>affordable housing; comparative analysis; developed countries; developing countries; Palestine</t>
  </si>
  <si>
    <t>Frontiers Media SA</t>
  </si>
  <si>
    <t>Front. Built Environ.</t>
  </si>
  <si>
    <t>Samarasekara, H.M.S.N.; Purushothaman, M.B.; Rotimi, F.E.; Ghaffarian Hoseini, A.</t>
  </si>
  <si>
    <t>Samarasekara, Herath Mudiyanselage Samadhi Nayanathara (59178162600); Purushothaman, Mahesh Babu (57216619975); Rotimi, Funmilayo Ebun (55218727200); Ghaffarian Hoseini, Amirhosein (57212028517)</t>
  </si>
  <si>
    <t>A system dynamics framework for whole life costing in seismic and climate-sensitive residential construction in New Zealand</t>
  </si>
  <si>
    <t>Smart and Sustainable Built Environment</t>
  </si>
  <si>
    <t>52</t>
  </si>
  <si>
    <t>10.1108/SASBE-06-2025-0331</t>
  </si>
  <si>
    <t>https://www.scopus.com/inward/record.uri?eid=2-s2.0-105024430680&amp;doi=10.1108%2FSASBE-06-2025-0331&amp;partnerID=40&amp;md5=0144adc38028adcbc4d96c9ac05bca3a</t>
  </si>
  <si>
    <t>Department of Built Environment Engineering, Auckland University of Technology, Auckland, AUK, New Zealand</t>
  </si>
  <si>
    <t>Samarasekara, Herath Mudiyanselage Samadhi Nayanathara, Department of Built Environment Engineering, Auckland University of Technology, Auckland, AUK, New Zealand; Purushothaman, Mahesh Babu, Department of Built Environment Engineering, Auckland University of Technology, Auckland, AUK, New Zealand; Rotimi, Funmilayo Ebun, Department of Built Environment Engineering, Auckland University of Technology, Auckland, AUK, New Zealand; Ghaffarian Hoseini, Amirhosein, Department of Built Environment Engineering, Auckland University of Technology, Auckland, AUK, New Zealand</t>
  </si>
  <si>
    <t>Purpose – This study develops a whole life costing (WLC) framework tailored to New Zealand's residential construction sector, addressing key region-specific challenges such as seismic risks, climate variability, and evolving regulatory conditions. Design/methodology/approach – A systematic literature review (SLR) was conducted alongside 22 semi-structured expert interviews to identify critical cost drivers influencing WLC in residential buildings. The study applies system dynamics (SD) methodology, using causal loop diagrams (CLDs) and degree centrality analysis to model complex interdependencies and feedback loops among these cost drivers. Findings – The study identifies 73 key cost drivers across technical, environmental, economic, regulatory and behavioural domains. These drivers are structured into a hierarchical framework that models their interactions across the acquisition, operational and end-of-life phases of residential buildings. The findings emphasise the importance of seismic resilience, energy efficiency, material durability and climate-related impacts in long-term cost planning for residential buildings in New Zealand. Research limitations/implications – The framework is based on expert interviews and literature review, which may limit the scope of identified factors. The research is conceptual in nature, and empirical validation of the framework is needed to confirm its practical applicability across different residential projects. Future research could include testing the framework in real-world settings or extending it to other geographical contexts. Practical implications – The proposed WLC framework provides policymakers, developers and architects with a structured tool for evaluating long-term costs and benefits of residential construction projects. It integrates local environmental, economic and regulatory factors, thus promoting sustainable design and more informed decision-making throughout the construction lifecycle. The framework can guide policy development, building regulations and sustainable construction practices in New Zealand and similar regions. Social implications – The framework promotes long-term affordability, quality and resilience in residential buildings, supporting improved public health, energy equity and disaster preparedness, critical issues for vulnerable communities affected by housing and environmental instability. Originality/value – This study presents the first context-specific WLC framework for New Zealand's residential construction sector. Unlike global models, it incorporates critical regional factors, such as seismic and climate risks, to offer a more comprehensive and practical tool for enhancing the economic sustainability of residential buildings. The framework's innovative use of system dynamics and causal loop modelling offers new insights into lifecycle cost estimation and long-term sustainability in construction. © 2025 Herath Mudiyanselage Samadhi Nayanathara Samarasekara, Mahesh Babu Purushothaman, Funmilayo Ebun Rotimi and Ali Ghaffarian Hoseini</t>
  </si>
  <si>
    <t>New Zealand; Residential construction; Seismic resilience; Sustainable design; System dynamics; Whole life costing</t>
  </si>
  <si>
    <t>Architectural design; Behavioral research; Climate change; Construction industry; Cost accounting; Cost benefit analysis; Decision making; Durability; Ecodesign; Environmental protection; Life cycle; Project management; Seismic design; Sustainable building; Sustainable development; Construction sectors; Cost drivers; Dynamic framework; Environmental economics; New zealand; Residential building; Residential construction; Seismic resilience; System Dynamics; Whole life costing; Housing</t>
  </si>
  <si>
    <t>Sánchez-Moral, S.; Arellano, A.; Díez Pisonero, R.</t>
  </si>
  <si>
    <t>Sánchez-Moral, Simón (60125458300); Arellano, F. Alfonso (55224277500); Díez Pisonero, Roberto (57189988822)</t>
  </si>
  <si>
    <t>The impact of remote working on residential mobility in the metropolitan region of Madrid</t>
  </si>
  <si>
    <t>2026</t>
  </si>
  <si>
    <t>Cities</t>
  </si>
  <si>
    <t>169</t>
  </si>
  <si>
    <t>106462</t>
  </si>
  <si>
    <t>10.1016/j.cities.2025.106462</t>
  </si>
  <si>
    <t>https://www.scopus.com/inward/record.uri?eid=2-s2.0-105017541967&amp;doi=10.1016%2Fj.cities.2025.106462&amp;partnerID=40&amp;md5=53090f3eb2531da485c0395ec0f8b0f6</t>
  </si>
  <si>
    <t>Department of Geography, Universidad Complutense de Madrid, Madrid, Madrid, Spain; Department of Economic Analysis, Universidad Complutense de Madrid, Madrid, Madrid, Spain</t>
  </si>
  <si>
    <t>Sánchez-Moral, Simón, Department of Geography, Universidad Complutense de Madrid, Madrid, Madrid, Spain; Arellano, F. Alfonso, Department of Economic Analysis, Universidad Complutense de Madrid, Madrid, Madrid, Spain; Díez Pisonero, Roberto, Department of Geography, Universidad Complutense de Madrid, Madrid, Madrid, Spain</t>
  </si>
  <si>
    <t>Large cities are facing the interlocked effects of multiple crises. In particular, the pandemic crisis induced residential relocation changes with the support of remote working. Nevertheless, the spatial implications involved remain unclear due to a lack of studies empirically integrating this variable. This research aims to study the impact of remote working on residential changes in Madrid in the period 2019–2021 ceteris paribus other residential relocation determinants, i.e. distance to the workplace, dwelling attributes, transport facilities and amenities. A local indicator of propensity to remote working is estimated using the complete administrative registry of the Social Security Office. We conclude that remote working impacts significantly on the relocation of young and middle-aged adults, although some of them may stay in their location to take advantage of agglomeration economies and social interaction. In particular, remote working impacts significantly on movement from the core city to suburban and rural areas, whereas evidence for movement in the opposite direction is less conclusive. In addition to digital connectivity and remote working, the availability of certain amenities can attract and retain these individuals. The research allows us to reflect on implications for housing affordability and for urban planning and policy intervention. © 2025 The Authors</t>
  </si>
  <si>
    <t>age groups; amenities; pandemic; remote working; residential location</t>
  </si>
  <si>
    <t>age structure; amenity; metropolitan area; pandemic; residential location; residential mobility; telecommuting; Community of Madrid; Madrid [Madrid (ADS/PRV)]; Madrid [Spain]; Spain</t>
  </si>
  <si>
    <t>Shi, S.; Wang, R.; Dong, Z.</t>
  </si>
  <si>
    <t>Shi, Shuai (57205484225); Wang, Ruiyang (57493644700); Dong, Zhaoyingzi (57193274716)</t>
  </si>
  <si>
    <t>The paradox of entrepreneurial cities: How business venturing inflates housing prices in China's Silicon Valley</t>
  </si>
  <si>
    <t>Journal of Business Venturing Insights</t>
  </si>
  <si>
    <t>e00585</t>
  </si>
  <si>
    <t>10.1016/j.jbvi.2025.e00585</t>
  </si>
  <si>
    <t>https://www.scopus.com/inward/record.uri?eid=2-s2.0-105023864517&amp;doi=10.1016%2Fj.jbvi.2025.e00585&amp;partnerID=40&amp;md5=793b999218b0f8debeaaa71d22b64ba9</t>
  </si>
  <si>
    <t>Department of Real Estate and Construction, The University of Hong Kong, Hong Kong, Hong Kong; School of Public Affairs, Zhejiang University, Hangzhou, Zhejiang, China</t>
  </si>
  <si>
    <t>Shi, Shuai, Department of Real Estate and Construction, The University of Hong Kong, Hong Kong, Hong Kong; Wang, Ruiyang, Department of Real Estate and Construction, The University of Hong Kong, Hong Kong, Hong Kong; Dong, Zhaoyingzi, School of Public Affairs, Zhejiang University, Hangzhou, Zhejiang, China</t>
  </si>
  <si>
    <t>Promoting entrepreneurship has become a quintessential objective for cities aiming to achieve sustainable economic growth. However, a critical question remains unexamined: What extra costs do residents have to pay for living in an entrepreneurial city? We address this question by examining the impact of venture capital (VC)-backed entrepreneurship on housing prices in Hangzhou. VC investments not only offer financial support for high-growth startups but also boost market confidence for the locations where VC-backed startups are concentrated. From 2013 to 2019, a total of 3,101 Hangzhou-based startups secured VC investments, positioning the city as one of China's most entrepreneurial hubs. To address the endogeneity issue, we construct an instrument variable (IV) grounded in startups' alignment with government-prioritized strategic sectors and find that 1 % increase in the scale of startup clusters can inflate the price of proximate housing properties by 0.0434 %. Further, three mechanisms are identified behind this phenomenon, including increased housing demand, innovation-induced land premiums, and capital agglomeration effects. The key insight of our study is that, beyond creating economic gains, the clustering of VC-backed startups paradoxically inflates nearby housing prices, ringing an alarm for tech-led gentrification. This calls for policy interventions to balance innovation growth with housing affordability in entrepreneurial cities. © 2025 Elsevier Inc.</t>
  </si>
  <si>
    <t>Entrepreneurship; Hangzhou; Housing; Startup; Venture capital</t>
  </si>
  <si>
    <t>Elsevier Inc.</t>
  </si>
  <si>
    <t>J. Bus. Ventur. Insights</t>
  </si>
  <si>
    <t>Vasudevan, U.; Kousalyadevi, G.; Ramesh, K.G.</t>
  </si>
  <si>
    <t>Vasudevan, Uthra (60084797000); Kousalyadevi, G. (57211521665); Ramesh, K. Geetha (60084336800)</t>
  </si>
  <si>
    <t>Transitional Shelters for Migrants in India: A Review of Low-Cost Rapid Construction Technologies</t>
  </si>
  <si>
    <t>SSRG International Journal of Civil Engineering</t>
  </si>
  <si>
    <t>8</t>
  </si>
  <si>
    <t>202</t>
  </si>
  <si>
    <t>217</t>
  </si>
  <si>
    <t>10.14445/23488352/IJCE-V12I8P119</t>
  </si>
  <si>
    <t>https://www.scopus.com/inward/record.uri?eid=2-s2.0-105015051991&amp;doi=10.14445%2F23488352%2FIJCE-V12I8P119&amp;partnerID=40&amp;md5=9da2940f505058f6ae53934ca04079f5</t>
  </si>
  <si>
    <t>School of Architecture and Interior Design, SRM Institute of Science and Technology, Kattankulathur, TN, India</t>
  </si>
  <si>
    <t>Vasudevan, Uthra, School of Architecture and Interior Design, SRM Institute of Science and Technology, Kattankulathur, TN, India; Kousalyadevi, G., School of Architecture and Interior Design, SRM Institute of Science and Technology, Kattankulathur, TN, India; Ramesh, K. Geetha, School of Architecture and Interior Design, SRM Institute of Science and Technology, Kattankulathur, TN, India</t>
  </si>
  <si>
    <t>India faces an increasing need for transitional shelters due to high internal migration and frequent natural disasters. Migrant workers, especially in construction and informal sectors, often live in unsafe, temporary conditions without access to basic services. This review explores low-cost, rapid construction technologies for transitional shelters tailored to India’s socio-economic and climatic needs. It evaluates modular systems, prefabricated panels, 3D printing, and traditional methods using local and recycled materials, based on criteria like Affordability, construction speed, environmental impact, and cultural suitability. Case studies from India are examined alongside global examples to highlight practical applications, challenges, and success rates. The central role of NGOs and government schemes, as well as gaps in long-term performance data and inclusive policy frameworks, are also discussed. Findings suggest that while multiple technologies are promising, their success depends on community participation, policy support, and field-level validation. This review identifies research gaps in lifecycle assessment, user adaptation, and urban and disaster planning integration. It recommends future directions involving pilot projects, digital tools, and cross-sector collaboration to develop inclusive, sustainable, and scalable shelter solutions for vulnerable migrant populations.. © 2025 Seventh Sense Research Group®.++++</t>
  </si>
  <si>
    <t>Disaster-resilient housing; Low-cost housing technologies; Migrant workers; Modular construction; Transitional shelters</t>
  </si>
  <si>
    <t>Seventh Sense Research Group</t>
  </si>
  <si>
    <t>SSRG. Int. J. Civ. Eng.</t>
  </si>
  <si>
    <t>Zairul, M.</t>
  </si>
  <si>
    <t>Zairul, Mohd Mohd (57212250012)</t>
  </si>
  <si>
    <t>Social housing development in the Arabian Gulf countries: policies, practices, and prospects</t>
  </si>
  <si>
    <t>1715060</t>
  </si>
  <si>
    <t>10.3389/fbuil.2025.1715060</t>
  </si>
  <si>
    <t>https://www.scopus.com/inward/record.uri?eid=2-s2.0-105024085024&amp;doi=10.3389%2Ffbuil.2025.1715060&amp;partnerID=40&amp;md5=a8a65baa11522366d040e38e04b7eb6c</t>
  </si>
  <si>
    <t>Department of Architectural Engineering, Alfaisal University, Riyadh, Riyad, Saudi Arabia</t>
  </si>
  <si>
    <t>Zairul, Mohd Mohd, Department of Architectural Engineering, Alfaisal University, Riyadh, Riyad, Saudi Arabia</t>
  </si>
  <si>
    <t>The Arabian Gulf has witnessed rapid social housing transformations driven by modernization, economic diversification, and ambitious policy reforms such as Saudi Arabia’s Vision 2030. Despite these efforts, persistent issues of affordability, regulatory inefficiency, and socio-cultural misalignment continue to challenge sustainable housing delivery. Current reviews are fragmented, often focusing narrowly on policy or technology, with limited integration of cultural and participatory dimensions. This gap highlights the need for a systematic synthesis that captures the multi-dimensional nature of housing development in the Gulf. This review aims to provide a comprehensive analysis of social housing development in the Arabian Gulf, examining the interplay of policies, cultural dynamics, technological practices, and participatory design approaches. Employing the Thematic Review (TreZ) method, which integrates systematic coding and synthesis through ATLAS.ti, 26 peer-reviewed empirical studies published between 2020 and 2025 were analyzed to identify recurring patterns and emerging themes. The analysis generated four dominant themes: (1) Government policies and economic drivers, emphasizing Vision 2030, PPPs, and affordability reforms"; (2) Cultural and demographic impacts, including privacy, gender segregation, and household size; (3) Technological and sustainable practices, highlighting green roofs, BIM, AI, MMC, and Industry 4.0 tools;" and (4) Participatory design and socio-cultural sustainability, addressing the neglect of cultural heritage and the potential of VR-enabled engagement. Findings indicate that while Gulf states are pursuing progressive, innovation-driven housing policies, critical gaps remain in socio-cultural sustainability and methodological integration. This research benefits scholars, policymakers, and practitioners by offering a holistic framework for advancing resilient, inclusive, and contextually grounded housing models in the Arabian Gulf. © © 2025 Zairul.</t>
  </si>
  <si>
    <t>fourth industrial revolution (4IR) technologies; gulf countries (GCC); social housing development; socio-cultural sustainability; TreZ thematic review</t>
  </si>
  <si>
    <t>Ige, V.O.</t>
  </si>
  <si>
    <t>Ige, Victor Olutope</t>
  </si>
  <si>
    <t>Land management and real estate dynamics for urban growth in Nigeria: Towards a conceptual framework</t>
  </si>
  <si>
    <t>TOWN AND REGIONAL PLANNING</t>
  </si>
  <si>
    <t>10.38140/trp.v87i.9713</t>
  </si>
  <si>
    <t>Walter Sisulu University</t>
  </si>
  <si>
    <t>[Ige, Victor Olutope] Fed Univ Technol Akure, Estate Management Dept, Akure, Nigeria; [Ige, Victor Olutope] Walter Sisulu Univ, Fac Engn Built Environm &amp; Informat Technol, Mthatha, South Africa</t>
  </si>
  <si>
    <t>Rapid urbanisation in Nigeria has exposed significant weaknesses in land-management and real estate systems, including fragmented institutions, insecure land rights, limited technology use, and weak legal enforcement. These issues contribute to volatile property markets, rising informality, and unsustainable urban growth. Despite these challenges, efforts to adapt international best practices to Nigeria remain minimal. This study addresses the research gap, by examining land management models in Australia, Germany, the United States, and China to identify lessons for Nigeria. Using a comparative qualitative approach, the research integrates evidence from 28 peer-reviewed articles, policy documents, and international reports through systematic review and thematic analysis. Guided by the Land Governance Framework, Institutional Economics, and Urban Growth theories, the findings reveal consistent patterns in governance structures, tenure systems, technology integration, and environmental considerations. Three critical pillars for effective land governance emerge, namely secure and efficient tenure regimes, digitised land administration, and environmentally sensitive planning. These elements strengthen property markets, improve housing affordability, and enhance urban resilience. The article proposes a Nigeria-specific policy roadmap emphasising institutional reform, digital transformation, and inclusive strategies for informal settlements to promote sustainable land governance.</t>
  </si>
  <si>
    <t>Urban governance; land administration systems; informal settlements; tenure security; comparative urban policy</t>
  </si>
  <si>
    <t>GOVERNANCE</t>
  </si>
  <si>
    <t>UNIV FREE STATE, DEPT TOWN &amp; REGIONAL PLANNING</t>
  </si>
  <si>
    <t>Town Reg. Plan.</t>
  </si>
  <si>
    <t>Reid, C.; Martín, C.; Rausch, C.; Raymond, S.E.L.</t>
  </si>
  <si>
    <t>Reid, Carolina; Martin, Carlos; Rausch, Christopher; Raymond, Seumalu Elora Lee</t>
  </si>
  <si>
    <t>What Would It Take to Close the Housing Supply Gap in the Next Five Years, While Addressing the Nation's Affordability, Climate Sustainability, and Resiliency Goals?</t>
  </si>
  <si>
    <t>10.1080/10511482.2025.2479449</t>
  </si>
  <si>
    <t>University of California System; University of California Berkeley; Harvard University; University of Texas System; University of Texas Austin; University System of Georgia; Georgia Institute of Technology</t>
  </si>
  <si>
    <t>[Reid, Carolina] Univ Calif Berkeley, Dept City &amp; Reg Planning, Berkeley, CA 94720 USA; [Martin, Carlos] Harvard Univ, Joint Ctr Housing Studies, Cambridge, MA USA; [Rausch, Christopher] Univ Texas Austin, Dept Civil Architectural &amp; Environm Engn, Austin, TX USA; [Raymond, Seumalu Elora Lee] Georgia Tech, Dept City &amp; Reg Planning, Atlanta, GA USA</t>
  </si>
  <si>
    <t>Housing is at the heart of many contemporary crises, including homelessness, racial and economic inequality, and sprawling development patterns that contribute to greater energy consumption and environmental extraction. There is a growing consensus that one of the root causes of these trends is the lack of housing supply. But focusing only on stimulating new supply is too narrow an agenda. This article argues that a supply agenda needs to focus on addressing the preservation needs of units built over the last century, as well as to situate housing production within a broader set of policies that explicitly further racial and social equity as well as advance climate change mitigation and adaptation.</t>
  </si>
  <si>
    <t>Housing supply; affordability; climate resilience</t>
  </si>
  <si>
    <t>ENERGY EFFICIENCY; BUILDING CODES; CONSTRUCTION; INNOVATION; REGULATIONS; DIFFUSION; BARRIERS; POLICY</t>
  </si>
  <si>
    <t>Shehadeh, A.; Alshboul, O.; Aburamadan, R.; Arar, M.; Abuhazeem, S.; Khazaleh, K.; Cotella, V.A.; Moghayedi, A.</t>
  </si>
  <si>
    <t>Shehadeh, Ali; Alshboul, Odey; Aburamadan, Rania; Arar, Mai; Abuhazeem, Suhaib; Khazaleh, Khaled; Cotella, Victoria Andrea; Moghayedi, Alireza</t>
  </si>
  <si>
    <t>Integrating climate resilience and digital twin technologies in housing: A comparative analysis and sustainable design proposal for Jordan and South Africa</t>
  </si>
  <si>
    <t>RESULTS IN ENGINEERING</t>
  </si>
  <si>
    <t>10.1016/j.rineng.2025.108409</t>
  </si>
  <si>
    <t>Yarmouk University; Hashemite University; University of Bradford; Al al-Bayt University; Al-Zaytoonah University of Jordan; University of West England</t>
  </si>
  <si>
    <t>[Shehadeh, Ali] Yarmouk Univ, Hijjawi Fac Engn Technol, Dept Civil Engn, POB 566, Irbid 21163, Jordan; [Alshboul, Odey] Hashemite Univ, Fac Engn, Dept Civil Engn, POB 330127, Zarqa 13133, Jordan; [Aburamadan, Rania; Cotella, Victoria Andrea] Univ Bradford, Fac Engn &amp; Digital Technol, Richmond Rd, Bradford BD7 1DP, England; [Arar, Mai] Al Bayt Univ, Fac Engn, Dept Architecture, Mafraq, Jordan; [Abuhazeem, Suhaib] AL Zaytoonah Univ Jordan, Fac Architecture &amp; Design, Dept Architecture, Amman, Jordan; [Khazaleh, Khaled] Minist Educ, Suleiman Al-Nabulsi St, Amman 11118, Jordan; [Moghayedi, Alireza] Univ West England, Sch Architecture &amp; Built Environm, Coldharbour Ln, Bristol BS16 1QY, England</t>
  </si>
  <si>
    <t>This study presents a novel climate-resilient housing framework by integrating Digital Twin (DT) technologies and Revit-based simulations into the design of Net-Positive Sustainable Innovative Affordable Housing (NPSIAH) within the Water, Energy, Food, and Environment (WEFE) nexus. Focusing on Jordan and South Africa, two regions with distinct climatic and socio-economic challenges, we employed climate vulnerability analysis using historical and projected datasets alongside community-driven insights to inform adaptive housing models. The applied DT models simulate dynamic thermal performance, water conservation, and structural resistance to various climate scenarios. Simulation outcomes reveal energy savings of 25 % in Jordan and water conservation of 30 % in South Africa. Simulation using DT also improved the accuracy of sustainability performance predictions by 15 % in contrast to existing practices. This work offers practical policy guidelines for planners and policymakers who want to implement water-saving, scalable housing solutions in climate-vulnerable locations.</t>
  </si>
  <si>
    <t>Sustainable innovative affordable housing (SIAH); WEFE nexus; Climate vulnerability analysis; Resilient housing design; Advance simulation</t>
  </si>
  <si>
    <t>AFFORDABILITY; TABLE</t>
  </si>
  <si>
    <t>Results Eng.</t>
  </si>
  <si>
    <t>Sohaimi, N.S.; Razak, M.H.A.; Said, M.S.; Ibrahim, F.I.; Zivali, T.</t>
  </si>
  <si>
    <t>Sohaimi, Nor Suzylah; Razak, Muhammad Hafiz Abd; Said, Mohd Syahril; Ibrahim, Filzani Illia; Zivali, Tulay</t>
  </si>
  <si>
    <t>Smart Technologies for Socioeconomic Sustainability in Urban Housing: A Southeast Asian Perspective</t>
  </si>
  <si>
    <t>JOURNAL OF CONTEMPORARY URBAN AFFAIRS</t>
  </si>
  <si>
    <t>10.25034/ijcua.2025.v9n1-14</t>
  </si>
  <si>
    <t>Universiti Utara Malaysia; Taylor's University; Samsun University</t>
  </si>
  <si>
    <t>[Sohaimi, Nor Suzylah; Razak, Muhammad Hafiz Abd; Said, Mohd Syahril] Univ Utara Malaysia, Sch Govt, Dept Planning &amp; Property, Kedah, Malaysia; [Ibrahim, Filzani Illia] Taylors Univ, Fac Innovat &amp; Technol, Sch Architecture Bldg &amp; Design, Subang Jaya, Malaysia; [Zivali, Tulay] Samsun Univ, Fac Architecture &amp; Design, Dept Architecture, Samsun, Turkiye</t>
  </si>
  <si>
    <t>Rapid urbanisation across Southeast Asia intensifies the demand for housing that is simultaneously affordable, sustainable, and socially inclusive. This study investigates how smart technologies-Artificial Intelligence, Internet of Things devices (IoT), Building Information Modelling, and passive cooling innovations-can advance socioeconomic sustainability in urban housing. A three-phase methodology combined a scientometric analysis of 454 Scopus-indexed papers, a systematic literature review of eight rigorously screened studies, and a qualitative content analysis of practice-based sources. The scientometric mapping reveals growing scholarly attention to energy efficiency and climate resilience, yet affordability and social equity remain peripheral themes. Evidence from Malaysia, Indonesia, the Philippines, Singapore, and Thailand shows that smart sensors, digital simulations, and value-management frameworks can reduce cooling energy by up to 18,000 kWh annually, cut construction costs, and enhance thermal comfort in low-income settings. However, adoption is uneven owing to high capital costs, limited policy incentives, and skills gaps. The study proposes an integrated framework linking environmental performance, housing affordability, and social inclusion through appropriate digital tools. Policymakers and urban planners are urged to embed financing mechanisms, capacity-building, and participatory design into housing programmes to mainstream technology-enabled, equitable sustainability across the region within the next decade.</t>
  </si>
  <si>
    <t>Smart Housing Technologies; Socioeconomic Sustainability; Affordable Urban Housing; Southeast Asia; Digital Tools in Urban Planning</t>
  </si>
  <si>
    <t>ALANYA UNIV</t>
  </si>
  <si>
    <t>J. Contemp. Urban 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</si>
</sst>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Helvetica Neue"/>
      <scheme val="minor"/>
    </font>
    <font>
      <b/>
      <sz val="10"/>
      <color rgb="FF000000"/>
      <name val="Helvetica Neue"/>
    </font>
    <font>
      <b/>
      <sz val="11"/>
      <color theme="1"/>
      <name val="Helvetica Neue"/>
    </font>
    <font>
      <sz val="10"/>
      <color rgb="FF000000"/>
      <name val="Helvetica Neue"/>
    </font>
    <font>
      <u/>
      <sz val="10"/>
      <color rgb="FF000000"/>
      <name val="Helvetica Neue"/>
    </font>
    <font>
      <sz val="10"/>
      <color theme="1"/>
      <name val="Helvetica Neue"/>
    </font>
    <font>
      <sz val="12"/>
      <color rgb="FF000000"/>
      <name val="Helvetica Neue"/>
    </font>
    <font>
      <sz val="10"/>
      <color theme="1"/>
      <name val="Arial"/>
    </font>
    <font>
      <u/>
      <sz val="10"/>
      <color theme="10"/>
      <name val="Helvetica Neue"/>
      <scheme val="minor"/>
    </font>
    <font>
      <b/>
      <sz val="10"/>
      <color rgb="FF000000"/>
      <name val="Helvetica Neue"/>
      <charset val="186"/>
      <scheme val="minor"/>
    </font>
    <font>
      <b/>
      <sz val="10"/>
      <color rgb="FF000000"/>
      <name val="Helvetica Neue"/>
      <charset val="186"/>
    </font>
    <font>
      <sz val="10"/>
      <name val="Helvetica Neue"/>
      <scheme val="minor"/>
    </font>
    <font>
      <sz val="10"/>
      <name val="Helvetica Neue"/>
    </font>
    <font>
      <u/>
      <sz val="10"/>
      <name val="Helvetica Neue"/>
      <scheme val="minor"/>
    </font>
  </fonts>
  <fills count="5">
    <fill>
      <patternFill patternType="none"/>
    </fill>
    <fill>
      <patternFill patternType="gray125"/>
    </fill>
    <fill>
      <patternFill patternType="solid">
        <fgColor rgb="FFFFF7D5"/>
        <bgColor rgb="FFFFF7D5"/>
      </patternFill>
    </fill>
    <fill>
      <patternFill patternType="solid">
        <fgColor rgb="FFFF0000"/>
        <bgColor rgb="FFFF0000"/>
      </patternFill>
    </fill>
    <fill>
      <patternFill patternType="solid">
        <fgColor theme="7" tint="0.7999816888943144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8" fillId="0" borderId="0" applyNumberFormat="0" applyFill="0" applyBorder="0" applyAlignment="0" applyProtection="0"/>
  </cellStyleXfs>
  <cellXfs count="57">
    <xf numFmtId="0" fontId="0" fillId="0" borderId="0" xfId="0" applyAlignment="1">
      <alignment vertical="top" wrapText="1"/>
    </xf>
    <xf numFmtId="49" fontId="1" fillId="0" borderId="0" xfId="0" applyNumberFormat="1" applyFont="1" applyAlignment="1">
      <alignment vertical="top"/>
    </xf>
    <xf numFmtId="0" fontId="3" fillId="0" borderId="0" xfId="0" applyFont="1" applyAlignment="1">
      <alignment vertical="top"/>
    </xf>
    <xf numFmtId="0" fontId="3" fillId="0" borderId="1" xfId="0" applyFont="1" applyBorder="1"/>
    <xf numFmtId="49" fontId="3" fillId="0" borderId="1" xfId="0" applyNumberFormat="1" applyFont="1" applyBorder="1" applyAlignment="1">
      <alignment vertical="top"/>
    </xf>
    <xf numFmtId="0" fontId="3" fillId="0" borderId="1" xfId="0" applyFont="1" applyBorder="1" applyAlignment="1">
      <alignment horizontal="left"/>
    </xf>
    <xf numFmtId="0" fontId="3" fillId="3" borderId="0" xfId="0" applyFont="1" applyFill="1" applyAlignment="1">
      <alignment vertical="top"/>
    </xf>
    <xf numFmtId="0" fontId="3" fillId="0" borderId="0" xfId="0" applyFont="1" applyAlignment="1">
      <alignment horizontal="left"/>
    </xf>
    <xf numFmtId="0" fontId="0" fillId="0" borderId="0" xfId="0"/>
    <xf numFmtId="49" fontId="1" fillId="0" borderId="1" xfId="0" applyNumberFormat="1" applyFont="1" applyBorder="1" applyAlignment="1">
      <alignment horizontal="left" vertical="top"/>
    </xf>
    <xf numFmtId="49" fontId="1" fillId="2" borderId="1" xfId="0" applyNumberFormat="1" applyFont="1" applyFill="1" applyBorder="1" applyAlignment="1">
      <alignment horizontal="left" vertical="center"/>
    </xf>
    <xf numFmtId="49" fontId="1" fillId="0" borderId="0" xfId="0" applyNumberFormat="1" applyFont="1" applyAlignment="1">
      <alignment horizontal="left" vertical="top"/>
    </xf>
    <xf numFmtId="0" fontId="2" fillId="0" borderId="0" xfId="0" applyFont="1" applyAlignment="1">
      <alignment horizontal="left" vertical="top"/>
    </xf>
    <xf numFmtId="0" fontId="3" fillId="2" borderId="1" xfId="0" applyFont="1" applyFill="1" applyBorder="1" applyAlignment="1">
      <alignment horizontal="left" vertical="center"/>
    </xf>
    <xf numFmtId="49" fontId="3" fillId="2" borderId="1" xfId="0" applyNumberFormat="1" applyFont="1" applyFill="1" applyBorder="1" applyAlignment="1">
      <alignment horizontal="left" vertical="center"/>
    </xf>
    <xf numFmtId="0" fontId="4" fillId="0" borderId="1" xfId="0" applyFont="1" applyBorder="1" applyAlignment="1">
      <alignment horizontal="left"/>
    </xf>
    <xf numFmtId="0" fontId="5" fillId="0" borderId="2" xfId="0" applyFont="1" applyBorder="1" applyAlignment="1">
      <alignment horizontal="left"/>
    </xf>
    <xf numFmtId="49" fontId="3" fillId="0" borderId="1" xfId="0" applyNumberFormat="1"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49" fontId="3" fillId="0" borderId="2" xfId="0" applyNumberFormat="1" applyFont="1" applyBorder="1" applyAlignment="1">
      <alignment horizontal="left" vertical="top"/>
    </xf>
    <xf numFmtId="0" fontId="1" fillId="2" borderId="1" xfId="0" applyFont="1" applyFill="1" applyBorder="1" applyAlignment="1">
      <alignment horizontal="left" vertical="center"/>
    </xf>
    <xf numFmtId="0" fontId="6" fillId="0" borderId="1" xfId="0" applyFont="1" applyBorder="1" applyAlignment="1">
      <alignment horizontal="left" vertical="top" wrapText="1"/>
    </xf>
    <xf numFmtId="0" fontId="3" fillId="0" borderId="2" xfId="0" applyFont="1" applyBorder="1" applyAlignment="1">
      <alignment horizontal="left" vertical="top"/>
    </xf>
    <xf numFmtId="49" fontId="3" fillId="2" borderId="1" xfId="0" applyNumberFormat="1" applyFont="1" applyFill="1" applyBorder="1" applyAlignment="1">
      <alignment horizontal="left" vertical="center" wrapText="1"/>
    </xf>
    <xf numFmtId="0" fontId="5" fillId="0" borderId="1" xfId="0" applyFont="1" applyBorder="1" applyAlignment="1">
      <alignment horizontal="left"/>
    </xf>
    <xf numFmtId="0" fontId="7" fillId="0" borderId="1" xfId="0" applyFont="1" applyBorder="1" applyAlignment="1">
      <alignment horizontal="left"/>
    </xf>
    <xf numFmtId="49" fontId="1" fillId="0" borderId="3" xfId="0" applyNumberFormat="1" applyFont="1" applyBorder="1" applyAlignment="1">
      <alignment horizontal="left" vertical="top"/>
    </xf>
    <xf numFmtId="0" fontId="3" fillId="0" borderId="0" xfId="0" applyFont="1" applyAlignment="1">
      <alignment horizontal="left" vertical="top"/>
    </xf>
    <xf numFmtId="0" fontId="3" fillId="0" borderId="0" xfId="0" applyFont="1" applyAlignment="1">
      <alignment horizontal="left" vertical="center"/>
    </xf>
    <xf numFmtId="0" fontId="0" fillId="0" borderId="0" xfId="0" applyAlignment="1">
      <alignment horizontal="left" vertical="top" wrapText="1"/>
    </xf>
    <xf numFmtId="0" fontId="0" fillId="0" borderId="5" xfId="0" applyBorder="1" applyAlignment="1">
      <alignment horizontal="left"/>
    </xf>
    <xf numFmtId="0" fontId="0" fillId="0" borderId="5" xfId="0" applyBorder="1" applyAlignment="1">
      <alignment horizontal="right"/>
    </xf>
    <xf numFmtId="0" fontId="3" fillId="2" borderId="5" xfId="0" applyFont="1" applyFill="1" applyBorder="1" applyAlignment="1">
      <alignment horizontal="left" vertical="center"/>
    </xf>
    <xf numFmtId="0" fontId="8" fillId="0" borderId="5" xfId="1" applyBorder="1" applyAlignment="1" applyProtection="1">
      <alignment horizontal="left"/>
    </xf>
    <xf numFmtId="0" fontId="9" fillId="0" borderId="5" xfId="0" applyFont="1" applyBorder="1" applyAlignment="1">
      <alignment horizontal="left"/>
    </xf>
    <xf numFmtId="0" fontId="3" fillId="0" borderId="5" xfId="0" applyFont="1" applyBorder="1" applyAlignment="1">
      <alignment vertical="top"/>
    </xf>
    <xf numFmtId="0" fontId="3" fillId="0" borderId="6" xfId="0" applyFont="1" applyBorder="1" applyAlignment="1">
      <alignment vertical="top"/>
    </xf>
    <xf numFmtId="49" fontId="4" fillId="0" borderId="1" xfId="0" applyNumberFormat="1" applyFont="1" applyBorder="1" applyAlignment="1">
      <alignment horizontal="left" vertical="top"/>
    </xf>
    <xf numFmtId="0" fontId="3" fillId="0" borderId="0" xfId="0" applyFont="1" applyAlignment="1">
      <alignment horizontal="right" vertical="top"/>
    </xf>
    <xf numFmtId="0" fontId="3" fillId="0" borderId="4" xfId="0" applyFont="1" applyBorder="1" applyAlignment="1">
      <alignment horizontal="right" vertical="top"/>
    </xf>
    <xf numFmtId="0" fontId="3" fillId="0" borderId="0" xfId="0" applyFont="1" applyAlignment="1">
      <alignment horizontal="center" vertical="center"/>
    </xf>
    <xf numFmtId="0" fontId="3" fillId="0" borderId="4" xfId="0" applyFont="1" applyBorder="1" applyAlignment="1">
      <alignment horizontal="center" vertical="center"/>
    </xf>
    <xf numFmtId="0" fontId="1" fillId="0" borderId="0" xfId="0" applyFont="1" applyAlignment="1">
      <alignment horizontal="center" vertical="center"/>
    </xf>
    <xf numFmtId="0" fontId="0" fillId="4" borderId="5" xfId="0" applyFill="1" applyBorder="1" applyAlignment="1">
      <alignment horizontal="right"/>
    </xf>
    <xf numFmtId="0" fontId="0" fillId="0" borderId="0" xfId="0" applyAlignment="1">
      <alignment vertical="top" wrapText="1"/>
    </xf>
    <xf numFmtId="0" fontId="10" fillId="0" borderId="0" xfId="0" applyFont="1" applyAlignment="1">
      <alignment horizontal="center" vertical="center"/>
    </xf>
    <xf numFmtId="0" fontId="3" fillId="0" borderId="7" xfId="0" applyFont="1" applyBorder="1" applyAlignment="1">
      <alignment horizontal="center" vertical="center"/>
    </xf>
    <xf numFmtId="0" fontId="11" fillId="0" borderId="5" xfId="0" applyFont="1" applyBorder="1" applyAlignment="1">
      <alignment horizontal="left"/>
    </xf>
    <xf numFmtId="0" fontId="11" fillId="0" borderId="5" xfId="0" applyFont="1" applyBorder="1" applyAlignment="1">
      <alignment horizontal="right"/>
    </xf>
    <xf numFmtId="49" fontId="12" fillId="2" borderId="1" xfId="0" applyNumberFormat="1" applyFont="1" applyFill="1" applyBorder="1" applyAlignment="1">
      <alignment horizontal="left" vertical="center"/>
    </xf>
    <xf numFmtId="0" fontId="13" fillId="0" borderId="5" xfId="1" applyFont="1" applyBorder="1" applyAlignment="1" applyProtection="1">
      <alignment horizontal="left"/>
    </xf>
    <xf numFmtId="0" fontId="11" fillId="0" borderId="0" xfId="0" applyFont="1"/>
    <xf numFmtId="0" fontId="12" fillId="0" borderId="5" xfId="0" applyFont="1" applyBorder="1" applyAlignment="1">
      <alignment vertical="top"/>
    </xf>
    <xf numFmtId="0" fontId="12" fillId="0" borderId="6" xfId="0" applyFont="1" applyBorder="1" applyAlignment="1">
      <alignment vertical="top"/>
    </xf>
    <xf numFmtId="0" fontId="12" fillId="2" borderId="5" xfId="0" applyFont="1" applyFill="1" applyBorder="1" applyAlignment="1">
      <alignment horizontal="left" vertical="center"/>
    </xf>
    <xf numFmtId="0" fontId="11" fillId="4" borderId="5" xfId="0" applyFont="1" applyFill="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5" Type="http://schemas.microsoft.com/office/2017/10/relationships/person" Target="persons/perso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Tatjana Vilutienė" id="{058EB783-2F58-4195-8DD9-831A6ACBDF83}" userId="S::tatjana.vilutiene@vilniustech.lt::a5b408c0-e7d3-4bfa-b8b2-82d12d53648a"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28" dT="2026-02-23T11:04:18.02" personId="{058EB783-2F58-4195-8DD9-831A6ACBDF83}" id="{EFBA52FA-1250-4A5E-AD67-7DFD23269597}">
    <text xml:space="preserve"> affordability of land services</text>
  </threadedComment>
  <threadedComment ref="E128" dT="2026-02-23T11:04:18.02" personId="{058EB783-2F58-4195-8DD9-831A6ACBDF83}" id="{940F63B8-2127-423B-ADAE-5E0955F870BC}">
    <text xml:space="preserve"> affordability of land services</text>
  </threadedComment>
  <threadedComment ref="D130" dT="2026-02-23T11:12:44.77" personId="{058EB783-2F58-4195-8DD9-831A6ACBDF83}" id="{C29C0E0A-B44E-4379-A5B0-066CA7FFB806}">
    <text>media influence on housing mortgage</text>
  </threadedComment>
  <threadedComment ref="D131" dT="2026-02-23T11:12:24.37" personId="{058EB783-2F58-4195-8DD9-831A6ACBDF83}" id="{4CF67EB4-C35E-4A29-9BB8-DBEEE8B527BF}">
    <text>land use planning</text>
  </threadedComment>
  <threadedComment ref="D132" dT="2026-02-23T11:16:04.94" personId="{058EB783-2F58-4195-8DD9-831A6ACBDF83}" id="{51ECE9C6-EC37-4FCB-9845-BC94C75B4E9C}">
    <text>Remote-work intensity associated with urban house prices. Poveikis būsto prieinamumui (Affordability) minimas tik kaip šalutinis efektas</text>
  </threadedComment>
  <threadedComment ref="D135" dT="2026-02-23T11:23:44.24" personId="{058EB783-2F58-4195-8DD9-831A6ACBDF83}" id="{6C632DF7-30EB-4821-A5C5-DD752FBAD8F2}">
    <text>Sustainable incremental housing model - neaišku, peržiūrėti straipsnį</text>
  </threadedComment>
  <threadedComment ref="D136" dT="2026-02-23T11:26:42.68" personId="{058EB783-2F58-4195-8DD9-831A6ACBDF83}" id="{376E5CEB-CC3B-4FD6-81E3-5E8DABEB5A8B}">
    <text>Pagrindinė tema - duomenų tipai, affordability - tarp nagrinėtų sričių</text>
  </threadedComment>
  <threadedComment ref="D139" dT="2026-02-23T11:33:18.69" personId="{058EB783-2F58-4195-8DD9-831A6ACBDF83}" id="{F81ADCEF-05E2-4D74-8D9C-9C7341A93D1F}">
    <text>Accurate forecasting of real estate markets has significant social implications, as it influences housing affordability</text>
  </threadedComment>
  <threadedComment ref="E146" dT="2026-02-23T16:08:09.38" personId="{058EB783-2F58-4195-8DD9-831A6ACBDF83}" id="{DA9167ED-9E5B-4C84-8A63-25C1D2D39587}">
    <text>sustainable housing</text>
  </threadedComment>
  <threadedComment ref="E147" dT="2026-02-23T16:09:21.94" personId="{058EB783-2F58-4195-8DD9-831A6ACBDF83}" id="{1800799C-6AF5-4A6B-A9CB-CA1EEA11F179}">
    <text xml:space="preserve">Vehicle-to-Home (V2H) technology </text>
  </threadedComment>
  <threadedComment ref="E149" dT="2026-02-23T16:09:21.94" personId="{058EB783-2F58-4195-8DD9-831A6ACBDF83}" id="{DC6C4A50-1960-4D83-B433-3105D2F70F57}">
    <text>sesmic risks</text>
  </threadedComment>
  <threadedComment ref="E150" dT="2026-02-23T16:13:07.07" personId="{058EB783-2F58-4195-8DD9-831A6ACBDF83}" id="{F3220194-F892-47CC-B06B-897FC7FDB900}">
    <text>remote work</text>
  </threadedComment>
  <threadedComment ref="E151" dT="2026-02-23T16:15:57.94" personId="{058EB783-2F58-4195-8DD9-831A6ACBDF83}" id="{44C5028E-00E0-42F6-AA9E-04B787BC5394}">
    <text>housing affordability in entrepreneurial cities, gentrification</text>
  </threadedComment>
  <threadedComment ref="E152" dT="2026-02-23T16:19:10.80" personId="{058EB783-2F58-4195-8DD9-831A6ACBDF83}" id="{D1D3AF8C-3ED0-4BFC-AA81-8D47271DFD5D}">
    <text>technologies for transitional shelters for internal migrants</text>
  </threadedComment>
  <threadedComment ref="E156" dT="2026-02-23T16:26:24.82" personId="{058EB783-2F58-4195-8DD9-831A6ACBDF83}" id="{F45BE9C7-7DBB-45CB-B4E5-78721DAF96D7}">
    <text>scalable hosing solutions in climate-vulnerable locations</text>
  </threadedComment>
  <threadedComment ref="E157" dT="2026-02-23T16:26:24.82" personId="{058EB783-2F58-4195-8DD9-831A6ACBDF83}" id="{338D84B8-E296-44CC-A180-365FBAAFFB97}">
    <text>scalable hosing solutions in climate-vulnerable locations</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scopus.com/inward/record.uri?eid=2-s2.0-84871658407&amp;partnerID=40&amp;md5=6dd6b32dab9ac9b682639e8c75b81510" TargetMode="External"/><Relationship Id="rId117" Type="http://schemas.openxmlformats.org/officeDocument/2006/relationships/hyperlink" Target="https://www.scopus.com/inward/record.uri?eid=2-s2.0-105019515113&amp;doi=10.1007%2Fs10901-025-10232-y&amp;partnerID=40&amp;md5=a50e95aa5d832c734eb6bb0be444e217" TargetMode="External"/><Relationship Id="rId21" Type="http://schemas.openxmlformats.org/officeDocument/2006/relationships/hyperlink" Target="https://www.scopus.com/inward/record.uri?eid=2-s2.0-85204456879&amp;doi=10.1016%2fj.enpol.2024.114341&amp;partnerID=40&amp;md5=9707c5a7950c9de2469e0abf184f0a4c" TargetMode="External"/><Relationship Id="rId42" Type="http://schemas.openxmlformats.org/officeDocument/2006/relationships/hyperlink" Target="https://www.scopus.com/inward/record.uri?eid=2-s2.0-85023170554&amp;doi=10.1080%2f14036096.2017.1348392&amp;partnerID=40&amp;md5=041e325ada3d6abcd0ccaa0b7e326fe1" TargetMode="External"/><Relationship Id="rId47" Type="http://schemas.openxmlformats.org/officeDocument/2006/relationships/hyperlink" Target="https://www.scopus.com/inward/record.uri?eid=2-s2.0-85071367224&amp;doi=10.18408%2fahuri-7313001&amp;partnerID=40&amp;md5=d59f3dd1bf4f04207379382aff082992" TargetMode="External"/><Relationship Id="rId63" Type="http://schemas.openxmlformats.org/officeDocument/2006/relationships/hyperlink" Target="https://www.scopus.com/inward/record.uri?eid=2-s2.0-84979067085&amp;doi=10.1080%2f14616718.2016.1198084&amp;partnerID=40&amp;md5=1e8677bc4d3cf374158ab5111087ad2a" TargetMode="External"/><Relationship Id="rId68" Type="http://schemas.openxmlformats.org/officeDocument/2006/relationships/hyperlink" Target="https://www.scopus.com/inward/record.uri?eid=2-s2.0-79955455068&amp;doi=10.1177%2f0042098010375325&amp;partnerID=40&amp;md5=00a9df7351a1231f61daaf682834e6ea" TargetMode="External"/><Relationship Id="rId84" Type="http://schemas.openxmlformats.org/officeDocument/2006/relationships/hyperlink" Target="https://www.scopus.com/inward/record.uri?eid=2-s2.0-85048276685&amp;doi=10.1016%2fj.rser.2018.05.035&amp;partnerID=40&amp;md5=c962b5cc9a49a09be30a0f6081264d05" TargetMode="External"/><Relationship Id="rId89" Type="http://schemas.openxmlformats.org/officeDocument/2006/relationships/hyperlink" Target="https://www.scopus.com/inward/record.uri?eid=2-s2.0-85111394281&amp;doi=10.1080%2f10511482.2021.1929389&amp;partnerID=40&amp;md5=c0cba240e5152b856df8011393663902" TargetMode="External"/><Relationship Id="rId112" Type="http://schemas.openxmlformats.org/officeDocument/2006/relationships/hyperlink" Target="https://www.scopus.com/inward/record.uri?eid=2-s2.0-105024430680&amp;doi=10.1108%2FSASBE-06-2025-0331&amp;partnerID=40&amp;md5=0144adc38028adcbc4d96c9ac05bca3a" TargetMode="External"/><Relationship Id="rId16" Type="http://schemas.openxmlformats.org/officeDocument/2006/relationships/hyperlink" Target="https://www.scopus.com/inward/record.uri?eid=2-s2.0-85213447423&amp;doi=10.2478%2fgeosc-2024-0011&amp;partnerID=40&amp;md5=1a43e6fba6717e684e7dc4b90efe31fa" TargetMode="External"/><Relationship Id="rId107" Type="http://schemas.openxmlformats.org/officeDocument/2006/relationships/hyperlink" Target="https://www.scopus.com/inward/record.uri?eid=2-s2.0-85217574340&amp;doi=10.3390%2Fbuildings15030454&amp;partnerID=40&amp;md5=31b7fe9145e411b15441368a370635ff" TargetMode="External"/><Relationship Id="rId11" Type="http://schemas.openxmlformats.org/officeDocument/2006/relationships/hyperlink" Target="https://www.scopus.com/inward/record.uri?eid=2-s2.0-85149369241&amp;doi=10.18408%2fahuri4127501&amp;partnerID=40&amp;md5=b83e98ebdf9ef2018fd70a6813e81390" TargetMode="External"/><Relationship Id="rId32" Type="http://schemas.openxmlformats.org/officeDocument/2006/relationships/hyperlink" Target="https://www.scopus.com/inward/record.uri?eid=2-s2.0-85111392745&amp;doi=10.1007%2fs11482-021-09954-2&amp;partnerID=40&amp;md5=48e1d957725cbc82b90ce36fafc50ea5" TargetMode="External"/><Relationship Id="rId37" Type="http://schemas.openxmlformats.org/officeDocument/2006/relationships/hyperlink" Target="http://www.ahuri.edu.au/publications/download/50602-pp" TargetMode="External"/><Relationship Id="rId53" Type="http://schemas.openxmlformats.org/officeDocument/2006/relationships/hyperlink" Target="https://www.scopus.com/inward/record.uri?eid=2-s2.0-85070866992&amp;doi=10.18408%2fahuri-5315301&amp;partnerID=40&amp;md5=613fdd7422b3d98e6b7f441b2842f0f8" TargetMode="External"/><Relationship Id="rId58" Type="http://schemas.openxmlformats.org/officeDocument/2006/relationships/hyperlink" Target="https://www.scopus.com/inward/record.uri?eid=2-s2.0-85071853650&amp;doi=10.18408%2fahuri-8117301&amp;partnerID=40&amp;md5=6f459826590427f36416bc78bd722e73" TargetMode="External"/><Relationship Id="rId74" Type="http://schemas.openxmlformats.org/officeDocument/2006/relationships/hyperlink" Target="https://www.scopus.com/inward/record.uri?eid=2-s2.0-85194577110&amp;partnerID=40&amp;md5=531262119f2363b5a05707a44ec398ab" TargetMode="External"/><Relationship Id="rId79" Type="http://schemas.openxmlformats.org/officeDocument/2006/relationships/hyperlink" Target="https://www.scopus.com/inward/record.uri?eid=2-s2.0-85167984915&amp;doi=10.1016%2fj.heliyon.2023.e19087&amp;partnerID=40&amp;md5=1d329b2aa5bbd8f3ae06d0d2b3d50a28" TargetMode="External"/><Relationship Id="rId102" Type="http://schemas.openxmlformats.org/officeDocument/2006/relationships/hyperlink" Target="https://www.scopus.com/inward/record.uri?eid=2-s2.0-105010358443&amp;doi=10.13189%2Fcea.2025.130401&amp;partnerID=40&amp;md5=5105bddea00c9d3bc18c608f7f5e7c31" TargetMode="External"/><Relationship Id="rId123" Type="http://schemas.openxmlformats.org/officeDocument/2006/relationships/hyperlink" Target="https://www.scopus.com/inward/record.uri?eid=2-s2.0-105000488743&amp;doi=10.1080%2F14036096.2025.2480133&amp;partnerID=40&amp;md5=921e89674af8a434ba3a152284d3bc55" TargetMode="External"/><Relationship Id="rId5" Type="http://schemas.openxmlformats.org/officeDocument/2006/relationships/hyperlink" Target="https://www.scopus.com/inward/record.uri?eid=2-s2.0-84889574573&amp;doi=10.1061%2f9780784413135.115&amp;partnerID=40&amp;md5=40d189de9a81b79932d3f746161f2725" TargetMode="External"/><Relationship Id="rId90" Type="http://schemas.openxmlformats.org/officeDocument/2006/relationships/hyperlink" Target="https://www.scopus.com/inward/record.uri?eid=2-s2.0-85103605634&amp;doi=10.18408%2fAHURI7320001&amp;partnerID=40&amp;md5=1c4a8478411e16df590191504b387cd4" TargetMode="External"/><Relationship Id="rId95" Type="http://schemas.openxmlformats.org/officeDocument/2006/relationships/hyperlink" Target="https://www.scopus.com/inward/record.uri?eid=2-s2.0-105025975603&amp;doi=10.3390%2Furbansci9120547&amp;partnerID=40&amp;md5=9197f85bfa8a2801199ae324115406c9" TargetMode="External"/><Relationship Id="rId22" Type="http://schemas.openxmlformats.org/officeDocument/2006/relationships/hyperlink" Target="https://www.scopus.com/inward/record.uri?eid=2-s2.0-85042224045&amp;doi=10.1080%2f15623599.2018.1435154&amp;partnerID=40&amp;md5=9590f9e6f352d837c9c81bec52be933d" TargetMode="External"/><Relationship Id="rId27" Type="http://schemas.openxmlformats.org/officeDocument/2006/relationships/hyperlink" Target="https://www.scopus.com/inward/record.uri?eid=2-s2.0-84879714174&amp;doi=10.1108%2fIJHMA-08-2012-0040&amp;partnerID=40&amp;md5=672875c36d29e7f8ea79deaa7e6f54c2" TargetMode="External"/><Relationship Id="rId43" Type="http://schemas.openxmlformats.org/officeDocument/2006/relationships/hyperlink" Target="https://www.scopus.com/inward/record.uri?eid=2-s2.0-85207216379&amp;doi=10.1108%2fEDI-05-2024-0196&amp;partnerID=40&amp;md5=cd91a0459fa766363abcd1b818dcdac7" TargetMode="External"/><Relationship Id="rId48" Type="http://schemas.openxmlformats.org/officeDocument/2006/relationships/hyperlink" Target="https://www.scopus.com/inward/record.uri?eid=2-s2.0-85084485363&amp;doi=10.1080%2f08111146.2020.1753690&amp;partnerID=40&amp;md5=721cc1dc1bedc8b4ccad30c875fcb288" TargetMode="External"/><Relationship Id="rId64" Type="http://schemas.openxmlformats.org/officeDocument/2006/relationships/hyperlink" Target="https://www.scopus.com/inward/record.uri?eid=2-s2.0-0348159857&amp;doi=10.1111%2fj.0309-1317.2003.00491.x&amp;partnerID=40&amp;md5=cc563bbdb022a94cecefa2787b88164d" TargetMode="External"/><Relationship Id="rId69" Type="http://schemas.openxmlformats.org/officeDocument/2006/relationships/hyperlink" Target="https://www.scopus.com/inward/record.uri?eid=2-s2.0-85067906702&amp;doi=10.1080%2f08111146.2017.1374944&amp;partnerID=40&amp;md5=99baf0679f362fde830daa1a4b6eba95" TargetMode="External"/><Relationship Id="rId113" Type="http://schemas.openxmlformats.org/officeDocument/2006/relationships/hyperlink" Target="https://www.scopus.com/inward/record.uri?eid=2-s2.0-105024085024&amp;doi=10.3389%2Ffbuil.2025.1715060&amp;partnerID=40&amp;md5=a8a65baa11522366d040e38e04b7eb6c" TargetMode="External"/><Relationship Id="rId118" Type="http://schemas.openxmlformats.org/officeDocument/2006/relationships/hyperlink" Target="https://www.scopus.com/inward/record.uri?eid=2-s2.0-105018935741&amp;doi=10.1108%2FIJHMA-08-2025-0181&amp;partnerID=40&amp;md5=5b4b940a56be155b7fc12641fef8ce02" TargetMode="External"/><Relationship Id="rId80" Type="http://schemas.openxmlformats.org/officeDocument/2006/relationships/hyperlink" Target="https://www.scopus.com/inward/record.uri?eid=2-s2.0-85055527502&amp;doi=10.1016%2fj.regsciurbeco.2018.06.004&amp;partnerID=40&amp;md5=631c1ec5c07c176c815add4aa06fddf3" TargetMode="External"/><Relationship Id="rId85" Type="http://schemas.openxmlformats.org/officeDocument/2006/relationships/hyperlink" Target="https://www.scopus.com/inward/record.uri?eid=2-s2.0-84915746006&amp;partnerID=40&amp;md5=f3f344e9e082783a4cce262e4a0e1a87" TargetMode="External"/><Relationship Id="rId12" Type="http://schemas.openxmlformats.org/officeDocument/2006/relationships/hyperlink" Target="https://www.scopus.com/inward/record.uri?eid=2-s2.0-85116177134&amp;partnerID=40&amp;md5=d0de6950bea2de14b5988a462c9d3f73" TargetMode="External"/><Relationship Id="rId17" Type="http://schemas.openxmlformats.org/officeDocument/2006/relationships/hyperlink" Target="https://www.scopus.com/inward/record.uri?eid=2-s2.0-85129266376&amp;doi=10.1177%2f15385132221085948&amp;partnerID=40&amp;md5=761605729736045b5f8180673621f9c4" TargetMode="External"/><Relationship Id="rId33" Type="http://schemas.openxmlformats.org/officeDocument/2006/relationships/hyperlink" Target="https://www.scopus.com/inward/record.uri?eid=2-s2.0-85083853002&amp;doi=10.1080%2f02673037.2020.1746244&amp;partnerID=40&amp;md5=524444b80f7e5de7f0def77341f0cbf7" TargetMode="External"/><Relationship Id="rId38" Type="http://schemas.openxmlformats.org/officeDocument/2006/relationships/hyperlink" Target="https://www.scopus.com/inward/record.uri?eid=2-s2.0-84910143795&amp;partnerID=40&amp;md5=35b3604c34337004a0a7e0b362233daa" TargetMode="External"/><Relationship Id="rId59" Type="http://schemas.openxmlformats.org/officeDocument/2006/relationships/hyperlink" Target="https://www.scopus.com/inward/record.uri?eid=2-s2.0-36148963699&amp;doi=10.2495%2fSDP070562&amp;partnerID=40&amp;md5=75849379079d5979e4d2bcbf419f4607" TargetMode="External"/><Relationship Id="rId103" Type="http://schemas.openxmlformats.org/officeDocument/2006/relationships/hyperlink" Target="https://www.scopus.com/inward/record.uri?eid=2-s2.0-105007752702&amp;doi=10.3390%2Fsu17114809&amp;partnerID=40&amp;md5=45a408be946dee019c95433e574a227e" TargetMode="External"/><Relationship Id="rId108" Type="http://schemas.openxmlformats.org/officeDocument/2006/relationships/hyperlink" Target="https://www.scopus.com/inward/record.uri?eid=2-s2.0-85215989115&amp;doi=10.1093%2Fwbro%2Flkae005&amp;partnerID=40&amp;md5=ea4f40d859ade3a0ca0cce4b590f705e" TargetMode="External"/><Relationship Id="rId124" Type="http://schemas.openxmlformats.org/officeDocument/2006/relationships/printerSettings" Target="../printerSettings/printerSettings1.bin"/><Relationship Id="rId54" Type="http://schemas.openxmlformats.org/officeDocument/2006/relationships/hyperlink" Target="https://www.scopus.com/inward/record.uri?eid=2-s2.0-85174831248&amp;doi=10.1016%2fj.regsciurbeco.2023.103948&amp;partnerID=40&amp;md5=792634f0e88dace459cb78954d07313b" TargetMode="External"/><Relationship Id="rId70" Type="http://schemas.openxmlformats.org/officeDocument/2006/relationships/hyperlink" Target="https://www.scopus.com/inward/record.uri?eid=2-s2.0-84861384590&amp;doi=10.1108%2f17538271111172166&amp;partnerID=40&amp;md5=94ccc140fd3681c6214855ea8a8a94e8" TargetMode="External"/><Relationship Id="rId75" Type="http://schemas.openxmlformats.org/officeDocument/2006/relationships/hyperlink" Target="https://www.scopus.com/inward/record.uri?eid=2-s2.0-85125487759&amp;doi=10.1016%2fj.jclepro.2022.130956&amp;partnerID=40&amp;md5=e9d889487e33fcbf6380e371fdc40ca4" TargetMode="External"/><Relationship Id="rId91" Type="http://schemas.openxmlformats.org/officeDocument/2006/relationships/hyperlink" Target="https://www.scopus.com/inward/record.uri?eid=2-s2.0-85105531493&amp;doi=10.1007%2fs10901-021-09856-7&amp;partnerID=40&amp;md5=9509a7c9d62035595999cbeae57d5450" TargetMode="External"/><Relationship Id="rId96" Type="http://schemas.openxmlformats.org/officeDocument/2006/relationships/hyperlink" Target="https://www.scopus.com/inward/record.uri?eid=2-s2.0-105023864517&amp;doi=10.1016%2Fj.jbvi.2025.e00585&amp;partnerID=40&amp;md5=793b999218b0f8debeaaa71d22b64ba9" TargetMode="External"/><Relationship Id="rId1" Type="http://schemas.openxmlformats.org/officeDocument/2006/relationships/hyperlink" Target="https://www.scopus.com/inward/record.uri?eid=2-s2.0-85196748938&amp;doi=10.33430%2fV31N1THIE-2023-0042&amp;partnerID=40&amp;md5=a88a537b2ff612f7a50e9d9a67057c94" TargetMode="External"/><Relationship Id="rId6" Type="http://schemas.openxmlformats.org/officeDocument/2006/relationships/hyperlink" Target="https://www.scopus.com/inward/record.uri?eid=2-s2.0-85074936244&amp;doi=10.1080%2f19491247.2019.1662639&amp;partnerID=40&amp;md5=f2743a78a27158c189c8e912cdbf7f9d" TargetMode="External"/><Relationship Id="rId23" Type="http://schemas.openxmlformats.org/officeDocument/2006/relationships/hyperlink" Target="https://www.scopus.com/inward/record.uri?eid=2-s2.0-85195842323&amp;doi=10.2478%2fremav-2024-0027&amp;partnerID=40&amp;md5=d1a9ed3c8e6c17fb918a1e72d362e622" TargetMode="External"/><Relationship Id="rId28" Type="http://schemas.openxmlformats.org/officeDocument/2006/relationships/hyperlink" Target="https://www.scopus.com/inward/record.uri?eid=2-s2.0-85153743236&amp;doi=10.14246%2firspsd.11.2_199&amp;partnerID=40&amp;md5=b20a046bc4c0d7084bf276261fe72f78" TargetMode="External"/><Relationship Id="rId49" Type="http://schemas.openxmlformats.org/officeDocument/2006/relationships/hyperlink" Target="https://www.scopus.com/inward/record.uri?eid=2-s2.0-85018261292&amp;doi=10.1080%2f14616718.2016.1248606&amp;partnerID=40&amp;md5=be14f2544dac6de06c8b8e1565a134d2" TargetMode="External"/><Relationship Id="rId114" Type="http://schemas.openxmlformats.org/officeDocument/2006/relationships/hyperlink" Target="https://www.scopus.com/inward/record.uri?eid=2-s2.0-105023685950&amp;doi=10.3389%2Ffbuil.2025.1653057&amp;partnerID=40&amp;md5=1570c27fdfa373f6a50c6f3fdd0fddf1" TargetMode="External"/><Relationship Id="rId119" Type="http://schemas.openxmlformats.org/officeDocument/2006/relationships/hyperlink" Target="https://www.scopus.com/inward/record.uri?eid=2-s2.0-105006920960&amp;doi=10.1111%2F1467-923X.13550&amp;partnerID=40&amp;md5=74c778c227a904bb7dde1caaa2a9e36a" TargetMode="External"/><Relationship Id="rId44" Type="http://schemas.openxmlformats.org/officeDocument/2006/relationships/hyperlink" Target="https://www.scopus.com/inward/record.uri?eid=2-s2.0-84945766056&amp;doi=10.1080%2f08111149008551443&amp;partnerID=40&amp;md5=6f0bf9c8c0f8693cc0cb32e08d25a35f" TargetMode="External"/><Relationship Id="rId60" Type="http://schemas.openxmlformats.org/officeDocument/2006/relationships/hyperlink" Target="https://www.scopus.com/inward/record.uri?eid=2-s2.0-84907692140&amp;partnerID=40&amp;md5=4357bb01581a0ab33aa414baf6991e2f" TargetMode="External"/><Relationship Id="rId65" Type="http://schemas.openxmlformats.org/officeDocument/2006/relationships/hyperlink" Target="https://www.scopus.com/inward/record.uri?eid=2-s2.0-84908072525&amp;partnerID=40&amp;md5=f32b726153e5e1d3da0658637bcfc577" TargetMode="External"/><Relationship Id="rId81" Type="http://schemas.openxmlformats.org/officeDocument/2006/relationships/hyperlink" Target="https://www.scopus.com/inward/record.uri?eid=2-s2.0-85070874587&amp;doi=10.18408%2fahuri-7110101&amp;partnerID=40&amp;md5=5926eb7d6f37db1ca20cd72b1e97e607" TargetMode="External"/><Relationship Id="rId86" Type="http://schemas.openxmlformats.org/officeDocument/2006/relationships/hyperlink" Target="https://www.scopus.com/inward/record.uri?eid=2-s2.0-85217574340&amp;doi=10.3390%2fbuildings15030454&amp;partnerID=40&amp;md5=bf2f60b908edad0c0da5ad1b20084c51" TargetMode="External"/><Relationship Id="rId13" Type="http://schemas.openxmlformats.org/officeDocument/2006/relationships/hyperlink" Target="https://www.scopus.com/inward/record.uri?eid=2-s2.0-85139022900&amp;doi=10.1016%2fj.geoforum.2022.09.007&amp;partnerID=40&amp;md5=43236e467a9ae22da43db5ad1c899cc6" TargetMode="External"/><Relationship Id="rId18" Type="http://schemas.openxmlformats.org/officeDocument/2006/relationships/hyperlink" Target="https://www.scopus.com/inward/record.uri?eid=2-s2.0-85215134782&amp;doi=10.1108%2fIJHMA-09-2024-0139&amp;partnerID=40&amp;md5=b834234b54f18c4ff6dd06f6d543a111" TargetMode="External"/><Relationship Id="rId39" Type="http://schemas.openxmlformats.org/officeDocument/2006/relationships/hyperlink" Target="https://www.scopus.com/inward/record.uri?eid=2-s2.0-85193275671&amp;doi=10.2478%2fadmin-2024-0010&amp;partnerID=40&amp;md5=330324168040d25b4ccba097df63ea12" TargetMode="External"/><Relationship Id="rId109" Type="http://schemas.openxmlformats.org/officeDocument/2006/relationships/hyperlink" Target="https://www.scopus.com/inward/record.uri?eid=2-s2.0-85215134782&amp;doi=10.1108%2FIJHMA-09-2024-0139&amp;partnerID=40&amp;md5=f4e58c9704a9fbd7f7ded7014951a07b" TargetMode="External"/><Relationship Id="rId34" Type="http://schemas.openxmlformats.org/officeDocument/2006/relationships/hyperlink" Target="https://www.scopus.com/inward/record.uri?eid=2-s2.0-85190250159&amp;doi=10.1016%2fj.joule.2024.01.022&amp;partnerID=40&amp;md5=da2b8f742244ddfc0e5ec8b2363440dd" TargetMode="External"/><Relationship Id="rId50" Type="http://schemas.openxmlformats.org/officeDocument/2006/relationships/hyperlink" Target="https://www.scopus.com/inward/record.uri?eid=2-s2.0-85215989115&amp;doi=10.1093%2fwbro%2flkae005&amp;partnerID=40&amp;md5=f2a79be16cf0f9d26f4257c3aa763391" TargetMode="External"/><Relationship Id="rId55" Type="http://schemas.openxmlformats.org/officeDocument/2006/relationships/hyperlink" Target="https://www.scopus.com/inward/record.uri?eid=2-s2.0-84864565906&amp;partnerID=40&amp;md5=e9afd67a93a760c9968d1d3e7a676569" TargetMode="External"/><Relationship Id="rId76" Type="http://schemas.openxmlformats.org/officeDocument/2006/relationships/hyperlink" Target="https://www.scopus.com/inward/record.uri?eid=2-s2.0-85085933340&amp;doi=10.3280%2fSUR2019-119004&amp;partnerID=40&amp;md5=391f3a68d650fb98d4b001bf4441b778" TargetMode="External"/><Relationship Id="rId97" Type="http://schemas.openxmlformats.org/officeDocument/2006/relationships/hyperlink" Target="https://www.scopus.com/inward/record.uri?eid=2-s2.0-105015730643&amp;doi=10.3390%2Fsu17178052&amp;partnerID=40&amp;md5=587a5350b3f3dfca52c51b1028213298" TargetMode="External"/><Relationship Id="rId104" Type="http://schemas.openxmlformats.org/officeDocument/2006/relationships/hyperlink" Target="https://www.scopus.com/inward/record.uri?eid=2-s2.0-105007207510&amp;doi=10.1007%2Fs00168-025-01388-0&amp;partnerID=40&amp;md5=f41fac8c97859ce7b44bdbc4ff12d5f4" TargetMode="External"/><Relationship Id="rId120" Type="http://schemas.openxmlformats.org/officeDocument/2006/relationships/hyperlink" Target="https://www.scopus.com/inward/record.uri?eid=2-s2.0-105004676021&amp;doi=10.1108%2FIJHMA-01-2025-0017&amp;partnerID=40&amp;md5=18293b24a992a5f32117aa1b8141ba6b" TargetMode="External"/><Relationship Id="rId125" Type="http://schemas.openxmlformats.org/officeDocument/2006/relationships/vmlDrawing" Target="../drawings/vmlDrawing1.vml"/><Relationship Id="rId7" Type="http://schemas.openxmlformats.org/officeDocument/2006/relationships/hyperlink" Target="https://www.scopus.com/inward/record.uri?eid=2-s2.0-84878014376&amp;doi=10.1007%2fs10901-012-9305-6&amp;partnerID=40&amp;md5=3c1024075c745490dfc5458aa21e856e" TargetMode="External"/><Relationship Id="rId71" Type="http://schemas.openxmlformats.org/officeDocument/2006/relationships/hyperlink" Target="https://www.scopus.com/inward/record.uri?eid=2-s2.0-85190113762&amp;doi=10.3390%2fsu16072803&amp;partnerID=40&amp;md5=5902cd1f24ed0c0c754bfeb47611ea90" TargetMode="External"/><Relationship Id="rId92" Type="http://schemas.openxmlformats.org/officeDocument/2006/relationships/hyperlink" Target="https://www.scopus.com/inward/record.uri?eid=2-s2.0-85098088163&amp;doi=10.18408%2fAHURI7321501&amp;partnerID=40&amp;md5=5a6776a688ffd3e22801b9332d75bddc" TargetMode="External"/><Relationship Id="rId2" Type="http://schemas.openxmlformats.org/officeDocument/2006/relationships/hyperlink" Target="https://www.scopus.com/inward/record.uri?eid=2-s2.0-85211769479&amp;doi=10.1080%2f19463138.2024.2429393&amp;partnerID=40&amp;md5=215dcc3ec2dfb51b0112f8632075f144" TargetMode="External"/><Relationship Id="rId29" Type="http://schemas.openxmlformats.org/officeDocument/2006/relationships/hyperlink" Target="https://creativecommons.org/licenses/by-nc-nd/4.0/" TargetMode="External"/><Relationship Id="rId24" Type="http://schemas.openxmlformats.org/officeDocument/2006/relationships/hyperlink" Target="https://www.scopus.com/inward/record.uri?eid=2-s2.0-85107397588&amp;doi=10.30880%2fijscet.2021.12.01.023&amp;partnerID=40&amp;md5=224b93c12bab1da8b48c9885dec289a6" TargetMode="External"/><Relationship Id="rId40" Type="http://schemas.openxmlformats.org/officeDocument/2006/relationships/hyperlink" Target="https://www.scopus.com/inward/record.uri?eid=2-s2.0-84907581411&amp;partnerID=40&amp;md5=c258fb067959a983eb22fb7325af3ae5" TargetMode="External"/><Relationship Id="rId45" Type="http://schemas.openxmlformats.org/officeDocument/2006/relationships/hyperlink" Target="https://www.scopus.com/inward/record.uri?eid=2-s2.0-84907583406&amp;partnerID=40&amp;md5=0d29069e0fdfb282bbe912d9e771ed40" TargetMode="External"/><Relationship Id="rId66" Type="http://schemas.openxmlformats.org/officeDocument/2006/relationships/hyperlink" Target="https://www.scopus.com/inward/record.uri?eid=2-s2.0-85070938014&amp;doi=10.18408%2fahuri-7104001&amp;partnerID=40&amp;md5=89e02f68b1853d9be879d679abe290cd" TargetMode="External"/><Relationship Id="rId87" Type="http://schemas.openxmlformats.org/officeDocument/2006/relationships/hyperlink" Target="https://www.scopus.com/inward/record.uri?eid=2-s2.0-85116176722&amp;partnerID=40&amp;md5=a410bcfe28be835809707cb780ad6c55" TargetMode="External"/><Relationship Id="rId110" Type="http://schemas.openxmlformats.org/officeDocument/2006/relationships/hyperlink" Target="https://www.scopus.com/inward/record.uri?eid=2-s2.0-105026690886&amp;doi=10.21837%2Fpm.v23i38.1880&amp;partnerID=40&amp;md5=24cf42168a26f7e4172d3393495bb980" TargetMode="External"/><Relationship Id="rId115" Type="http://schemas.openxmlformats.org/officeDocument/2006/relationships/hyperlink" Target="https://www.scopus.com/inward/record.uri?eid=2-s2.0-105022444519&amp;doi=10.1080%2F23311886.2025.2588049&amp;partnerID=40&amp;md5=7bbb13a1cc54b92fb013dfe662a923af" TargetMode="External"/><Relationship Id="rId61" Type="http://schemas.openxmlformats.org/officeDocument/2006/relationships/hyperlink" Target="https://www.scopus.com/inward/record.uri?eid=2-s2.0-85106559272&amp;doi=10.14246%2fIRSPSD.9.2_41&amp;partnerID=40&amp;md5=fce1f16a1684e09f7a5e1aeaa97d1666" TargetMode="External"/><Relationship Id="rId82" Type="http://schemas.openxmlformats.org/officeDocument/2006/relationships/hyperlink" Target="https://www.scopus.com/inward/record.uri?eid=2-s2.0-84911987826&amp;doi=10.1080%2f02673037.2014.927420&amp;partnerID=40&amp;md5=eb010170c19dbcf7fc671e313489fe26" TargetMode="External"/><Relationship Id="rId19" Type="http://schemas.openxmlformats.org/officeDocument/2006/relationships/hyperlink" Target="https://www.scopus.com/inward/record.uri?eid=2-s2.0-85087082510&amp;doi=10.1007%2fs10708-020-10247-8&amp;partnerID=40&amp;md5=23877e076d7be1303ed04c1d4c9cca7c" TargetMode="External"/><Relationship Id="rId14" Type="http://schemas.openxmlformats.org/officeDocument/2006/relationships/hyperlink" Target="https://www.scopus.com/inward/record.uri?eid=2-s2.0-85116177450&amp;partnerID=40&amp;md5=8c82323ee40d4c61468b4fc7c0b4a6e0" TargetMode="External"/><Relationship Id="rId30" Type="http://schemas.openxmlformats.org/officeDocument/2006/relationships/hyperlink" Target="https://www.scopus.com/inward/record.uri?eid=2-s2.0-85080862997&amp;partnerID=40&amp;md5=053cf864085d6766db9b92e6f8f3befb" TargetMode="External"/><Relationship Id="rId35" Type="http://schemas.openxmlformats.org/officeDocument/2006/relationships/hyperlink" Target="https://www.scopus.com/inward/record.uri?eid=2-s2.0-79957835116&amp;partnerID=40&amp;md5=3156353bbfc989f6ba7652eec6e4c880" TargetMode="External"/><Relationship Id="rId56" Type="http://schemas.openxmlformats.org/officeDocument/2006/relationships/hyperlink" Target="https://www.scopus.com/inward/record.uri?eid=2-s2.0-85079685660&amp;doi=10.3390%2fsu12020683&amp;partnerID=40&amp;md5=f6bf55d8f50554c087c57d7f5ef37aa3" TargetMode="External"/><Relationship Id="rId77" Type="http://schemas.openxmlformats.org/officeDocument/2006/relationships/hyperlink" Target="https://www.scopus.com/inward/record.uri?eid=2-s2.0-77957863869&amp;doi=10.1080%2f01442872.2010.497261&amp;partnerID=40&amp;md5=95b919c549ac37d2f788a05d10738690" TargetMode="External"/><Relationship Id="rId100" Type="http://schemas.openxmlformats.org/officeDocument/2006/relationships/hyperlink" Target="https://www.scopus.com/inward/record.uri?eid=2-s2.0-105014296871&amp;doi=10.3390%2Fsu17167519&amp;partnerID=40&amp;md5=f51f3453f41cdd8515883ba8331ffa7d" TargetMode="External"/><Relationship Id="rId105" Type="http://schemas.openxmlformats.org/officeDocument/2006/relationships/hyperlink" Target="https://www.scopus.com/inward/record.uri?eid=2-s2.0-105007063608&amp;doi=10.1371%2Fjournal.pone.0325274&amp;partnerID=40&amp;md5=e2fda00bea97ca18e65cdb528a12a5b4" TargetMode="External"/><Relationship Id="rId126" Type="http://schemas.openxmlformats.org/officeDocument/2006/relationships/comments" Target="../comments1.xml"/><Relationship Id="rId8" Type="http://schemas.openxmlformats.org/officeDocument/2006/relationships/hyperlink" Target="https://www.scopus.com/inward/record.uri?eid=2-s2.0-85068992347&amp;doi=10.1177%2f0308518X19862811&amp;partnerID=40&amp;md5=cc316ad1496609fe113b2cb989ed3ba4" TargetMode="External"/><Relationship Id="rId51" Type="http://schemas.openxmlformats.org/officeDocument/2006/relationships/hyperlink" Target="https://www.scopus.com/inward/record.uri?eid=2-s2.0-84868103748&amp;doi=10.1080%2f02673037.2012.677019&amp;partnerID=40&amp;md5=e4e0dfdefa0278e77a54b5d6aaeb81c0" TargetMode="External"/><Relationship Id="rId72" Type="http://schemas.openxmlformats.org/officeDocument/2006/relationships/hyperlink" Target="https://www.scopus.com/inward/record.uri?eid=2-s2.0-66349124760&amp;doi=10.1080%2f10511482.2008.9521654&amp;partnerID=40&amp;md5=496cf6cce5e197793e0bbe154d16d545" TargetMode="External"/><Relationship Id="rId93" Type="http://schemas.openxmlformats.org/officeDocument/2006/relationships/hyperlink" Target="https://www.scopus.com/inward/record.uri?eid=2-s2.0-85205250247&amp;doi=10.5334%2fbc.434&amp;partnerID=40&amp;md5=59a88393719e5ba84c5753f96e2f171f" TargetMode="External"/><Relationship Id="rId98" Type="http://schemas.openxmlformats.org/officeDocument/2006/relationships/hyperlink" Target="https://www.scopus.com/inward/record.uri?eid=2-s2.0-105008547434&amp;doi=10.1016%2Fj.habitatint.2025.103482&amp;partnerID=40&amp;md5=804a9d641a5c6186b914b43b98f23394" TargetMode="External"/><Relationship Id="rId121" Type="http://schemas.openxmlformats.org/officeDocument/2006/relationships/hyperlink" Target="https://www.scopus.com/inward/record.uri?eid=2-s2.0-105004479706&amp;doi=10.1080%2F02673037.2025.2498383&amp;partnerID=40&amp;md5=d6ae32fbb4f5ead523498b192fdec992" TargetMode="External"/><Relationship Id="rId3" Type="http://schemas.openxmlformats.org/officeDocument/2006/relationships/hyperlink" Target="https://www.scopus.com/inward/record.uri?eid=2-s2.0-84907532751&amp;partnerID=40&amp;md5=42bc9c2c04d2e8a68d5704d628551d92" TargetMode="External"/><Relationship Id="rId25" Type="http://schemas.openxmlformats.org/officeDocument/2006/relationships/hyperlink" Target="https://www.scopus.com/inward/record.uri?eid=2-s2.0-85165879616&amp;doi=10.1080%2f15228835.2023.2239310&amp;partnerID=40&amp;md5=ae9d7b885cd9cbc4669e31cba412c1f1" TargetMode="External"/><Relationship Id="rId46" Type="http://schemas.openxmlformats.org/officeDocument/2006/relationships/hyperlink" Target="https://www.scopus.com/inward/record.uri?eid=2-s2.0-85075099889&amp;doi=10.1080%2f07293682.2019.1632361&amp;partnerID=40&amp;md5=5497c8c080ac0a53c90281ce47465eef" TargetMode="External"/><Relationship Id="rId67" Type="http://schemas.openxmlformats.org/officeDocument/2006/relationships/hyperlink" Target="https://www.scopus.com/inward/record.uri?eid=2-s2.0-85129709703&amp;doi=10.1016%2fj.elerap.2022.101152&amp;partnerID=40&amp;md5=23aed9f5bf7ec66f0291c145e6f46413" TargetMode="External"/><Relationship Id="rId116" Type="http://schemas.openxmlformats.org/officeDocument/2006/relationships/hyperlink" Target="https://www.scopus.com/inward/record.uri?eid=2-s2.0-105021990303&amp;doi=10.1177%2F00420980251385863&amp;partnerID=40&amp;md5=2910e8f695bc651e2efc84871c4d983e" TargetMode="External"/><Relationship Id="rId20" Type="http://schemas.openxmlformats.org/officeDocument/2006/relationships/hyperlink" Target="https://www.scopus.com/inward/record.uri?eid=2-s2.0-84868147099&amp;doi=10.1080%2f02673037.2012.677998&amp;partnerID=40&amp;md5=7093c50ed8f061a53c8cd26ecf5dcf34" TargetMode="External"/><Relationship Id="rId41" Type="http://schemas.openxmlformats.org/officeDocument/2006/relationships/hyperlink" Target="https://www.scopus.com/inward/record.uri?eid=2-s2.0-85141103282&amp;doi=10.13060%2f23362839.2022.9.2.546&amp;partnerID=40&amp;md5=41794278ce5584a8bd84a1ea155cc9fa" TargetMode="External"/><Relationship Id="rId62" Type="http://schemas.openxmlformats.org/officeDocument/2006/relationships/hyperlink" Target="https://www.scopus.com/inward/record.uri?eid=2-s2.0-84932120792&amp;doi=10.1089%2fenv.2015.0006&amp;partnerID=40&amp;md5=95a8683e51a8abfe926a870ae6b821d4" TargetMode="External"/><Relationship Id="rId83" Type="http://schemas.openxmlformats.org/officeDocument/2006/relationships/hyperlink" Target="https://www.scopus.com/inward/record.uri?eid=2-s2.0-84924965646&amp;partnerID=40&amp;md5=9a3a686c8dce2cbf3d09c03fb71cb28e" TargetMode="External"/><Relationship Id="rId88" Type="http://schemas.openxmlformats.org/officeDocument/2006/relationships/hyperlink" Target="https://www.scopus.com/inward/record.uri?eid=2-s2.0-85071732575&amp;doi=10.18408%2fahuri-5310202&amp;partnerID=40&amp;md5=7b036cfa94f89939067a65542c1d7b23" TargetMode="External"/><Relationship Id="rId111" Type="http://schemas.openxmlformats.org/officeDocument/2006/relationships/hyperlink" Target="https://www.scopus.com/inward/record.uri?eid=2-s2.0-105024600828&amp;doi=10.1108%2FEC-09-2024-0895&amp;partnerID=40&amp;md5=81fd161a5dba17c4b7f481c5f9081f13" TargetMode="External"/><Relationship Id="rId15" Type="http://schemas.openxmlformats.org/officeDocument/2006/relationships/hyperlink" Target="https://www.scopus.com/inward/record.uri?eid=2-s2.0-84861398787&amp;doi=10.1108%2f17538271111172157&amp;partnerID=40&amp;md5=f814787113e700c981d69618413cb901" TargetMode="External"/><Relationship Id="rId36" Type="http://schemas.openxmlformats.org/officeDocument/2006/relationships/hyperlink" Target="https://www.scopus.com/inward/record.uri?eid=2-s2.0-85116177239&amp;partnerID=40&amp;md5=64bcaf2cd21e015993017e0243d0b0cd" TargetMode="External"/><Relationship Id="rId57" Type="http://schemas.openxmlformats.org/officeDocument/2006/relationships/hyperlink" Target="https://www.scopus.com/inward/record.uri?eid=2-s2.0-85199291577&amp;doi=10.1108%2fSASBE-09-2023-0287&amp;partnerID=40&amp;md5=1657fb7cf7232dca88c9f6f8a64e87e2" TargetMode="External"/><Relationship Id="rId106" Type="http://schemas.openxmlformats.org/officeDocument/2006/relationships/hyperlink" Target="https://www.scopus.com/inward/record.uri?eid=2-s2.0-105001737412&amp;doi=10.1016%2Fj.habitatint.2025.103382&amp;partnerID=40&amp;md5=52c1f6146b1ccbb88c64e10df454b5da" TargetMode="External"/><Relationship Id="rId127" Type="http://schemas.microsoft.com/office/2017/10/relationships/threadedComment" Target="../threadedComments/threadedComment1.xml"/><Relationship Id="rId10" Type="http://schemas.openxmlformats.org/officeDocument/2006/relationships/hyperlink" Target="https://www.scopus.com/inward/record.uri?eid=2-s2.0-85065735332&amp;doi=10.21837%2fpmjournal.v17.i9.595&amp;partnerID=40&amp;md5=9284168b20d7494f597429c73c1b52f7" TargetMode="External"/><Relationship Id="rId31" Type="http://schemas.openxmlformats.org/officeDocument/2006/relationships/hyperlink" Target="https://www.scopus.com/inward/record.uri?eid=2-s2.0-85072761404&amp;doi=10.1016%2fj.jclepro.2019.118657&amp;partnerID=40&amp;md5=914748ed4f455f51dfc30180b6f9230a" TargetMode="External"/><Relationship Id="rId52" Type="http://schemas.openxmlformats.org/officeDocument/2006/relationships/hyperlink" Target="https://www.scopus.com/inward/record.uri?eid=2-s2.0-85028664007&amp;doi=10.13060%2f23362839.2014.1.1.26&amp;partnerID=40&amp;md5=aaaf90ebfda208890415b0430c400667" TargetMode="External"/><Relationship Id="rId73" Type="http://schemas.openxmlformats.org/officeDocument/2006/relationships/hyperlink" Target="https://www.scopus.com/inward/record.uri?eid=2-s2.0-85200046517&amp;doi=10.1177%2f00420980241262227&amp;partnerID=40&amp;md5=7c9e40fcf744b120c21e7188505a318f" TargetMode="External"/><Relationship Id="rId78" Type="http://schemas.openxmlformats.org/officeDocument/2006/relationships/hyperlink" Target="https://www.scopus.com/inward/record.uri?eid=2-s2.0-85081212619&amp;doi=10.1080%2f07352166.2019.1705846&amp;partnerID=40&amp;md5=55c9fc914553a30c45f1bfc9805bfb38" TargetMode="External"/><Relationship Id="rId94" Type="http://schemas.openxmlformats.org/officeDocument/2006/relationships/hyperlink" Target="https://www.scopus.com/inward/record.uri?eid=2-s2.0-105017541967&amp;doi=10.1016%2Fj.cities.2025.106462&amp;partnerID=40&amp;md5=53090f3eb2531da485c0395ec0f8b0f6" TargetMode="External"/><Relationship Id="rId99" Type="http://schemas.openxmlformats.org/officeDocument/2006/relationships/hyperlink" Target="https://www.scopus.com/inward/record.uri?eid=2-s2.0-105015051991&amp;doi=10.14445%2F23488352%2FIJCE-V12I8P119&amp;partnerID=40&amp;md5=9da2940f505058f6ae53934ca04079f5" TargetMode="External"/><Relationship Id="rId101" Type="http://schemas.openxmlformats.org/officeDocument/2006/relationships/hyperlink" Target="https://www.scopus.com/inward/record.uri?eid=2-s2.0-105014258251&amp;doi=10.3390%2Fsu17167431&amp;partnerID=40&amp;md5=46fa0f5c44f372c8c02b575c440a07b3" TargetMode="External"/><Relationship Id="rId122" Type="http://schemas.openxmlformats.org/officeDocument/2006/relationships/hyperlink" Target="https://www.scopus.com/inward/record.uri?eid=2-s2.0-105003197964&amp;doi=10.1080%2F10511482.2025.2479464&amp;partnerID=40&amp;md5=6645aedfffad0007d4cd4900456ad63a" TargetMode="External"/><Relationship Id="rId4" Type="http://schemas.openxmlformats.org/officeDocument/2006/relationships/hyperlink" Target="https://www.scopus.com/inward/record.uri?eid=2-s2.0-85127295409&amp;doi=10.1007%2fs11146-022-09896-y&amp;partnerID=40&amp;md5=94df65ae36a354ab818ace0b989825df" TargetMode="External"/><Relationship Id="rId9" Type="http://schemas.openxmlformats.org/officeDocument/2006/relationships/hyperlink" Target="https://www.scopus.com/inward/record.uri?eid=2-s2.0-85116175944&amp;partnerID=40&amp;md5=b5463592c0b440e451c78049e261902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scopus.com/inward/record.uri?eid=2-s2.0-85193275671&amp;doi=10.2478%2fadmin-2024-0010&amp;partnerID=40&amp;md5=330324168040d25b4ccba097df63ea12" TargetMode="External"/><Relationship Id="rId21" Type="http://schemas.openxmlformats.org/officeDocument/2006/relationships/hyperlink" Target="https://www.scopus.com/inward/record.uri?eid=2-s2.0-84879714174&amp;doi=10.1108%2fIJHMA-08-2012-0040&amp;partnerID=40&amp;md5=672875c36d29e7f8ea79deaa7e6f54c2" TargetMode="External"/><Relationship Id="rId42" Type="http://schemas.openxmlformats.org/officeDocument/2006/relationships/hyperlink" Target="https://www.scopus.com/inward/record.uri?eid=2-s2.0-85071853650&amp;doi=10.18408%2fahuri-8117301&amp;partnerID=40&amp;md5=6f459826590427f36416bc78bd722e73" TargetMode="External"/><Relationship Id="rId47" Type="http://schemas.openxmlformats.org/officeDocument/2006/relationships/hyperlink" Target="https://www.scopus.com/inward/record.uri?eid=2-s2.0-0348159857&amp;doi=10.1111%2fj.0309-1317.2003.00491.x&amp;partnerID=40&amp;md5=cc563bbdb022a94cecefa2787b88164d" TargetMode="External"/><Relationship Id="rId63" Type="http://schemas.openxmlformats.org/officeDocument/2006/relationships/hyperlink" Target="https://www.scopus.com/inward/record.uri?eid=2-s2.0-85217574340&amp;doi=10.3390%2fbuildings15030454&amp;partnerID=40&amp;md5=bf2f60b908edad0c0da5ad1b20084c51" TargetMode="External"/><Relationship Id="rId68" Type="http://schemas.openxmlformats.org/officeDocument/2006/relationships/hyperlink" Target="https://www.scopus.com/inward/record.uri?eid=2-s2.0-85105531493&amp;doi=10.1007%2fs10901-021-09856-7&amp;partnerID=40&amp;md5=9509a7c9d62035595999cbeae57d5450" TargetMode="External"/><Relationship Id="rId84" Type="http://schemas.openxmlformats.org/officeDocument/2006/relationships/hyperlink" Target="https://www.scopus.com/inward/record.uri?eid=2-s2.0-105000488743&amp;doi=10.1080%2F14036096.2025.2480133&amp;partnerID=40&amp;md5=921e89674af8a434ba3a152284d3bc55" TargetMode="External"/><Relationship Id="rId16" Type="http://schemas.openxmlformats.org/officeDocument/2006/relationships/hyperlink" Target="https://www.scopus.com/inward/record.uri?eid=2-s2.0-85087082510&amp;doi=10.1007%2fs10708-020-10247-8&amp;partnerID=40&amp;md5=23877e076d7be1303ed04c1d4c9cca7c" TargetMode="External"/><Relationship Id="rId11" Type="http://schemas.openxmlformats.org/officeDocument/2006/relationships/hyperlink" Target="https://www.scopus.com/inward/record.uri?eid=2-s2.0-85139022900&amp;doi=10.1016%2fj.geoforum.2022.09.007&amp;partnerID=40&amp;md5=43236e467a9ae22da43db5ad1c899cc6" TargetMode="External"/><Relationship Id="rId32" Type="http://schemas.openxmlformats.org/officeDocument/2006/relationships/hyperlink" Target="https://www.scopus.com/inward/record.uri?eid=2-s2.0-84907583406&amp;partnerID=40&amp;md5=0d29069e0fdfb282bbe912d9e771ed40" TargetMode="External"/><Relationship Id="rId37" Type="http://schemas.openxmlformats.org/officeDocument/2006/relationships/hyperlink" Target="https://www.scopus.com/inward/record.uri?eid=2-s2.0-84868103748&amp;doi=10.1080%2f02673037.2012.677019&amp;partnerID=40&amp;md5=e4e0dfdefa0278e77a54b5d6aaeb81c0" TargetMode="External"/><Relationship Id="rId53" Type="http://schemas.openxmlformats.org/officeDocument/2006/relationships/hyperlink" Target="https://www.scopus.com/inward/record.uri?eid=2-s2.0-85194577110&amp;partnerID=40&amp;md5=531262119f2363b5a05707a44ec398ab" TargetMode="External"/><Relationship Id="rId58" Type="http://schemas.openxmlformats.org/officeDocument/2006/relationships/hyperlink" Target="https://www.scopus.com/inward/record.uri?eid=2-s2.0-85055527502&amp;doi=10.1016%2fj.regsciurbeco.2018.06.004&amp;partnerID=40&amp;md5=631c1ec5c07c176c815add4aa06fddf3" TargetMode="External"/><Relationship Id="rId74" Type="http://schemas.openxmlformats.org/officeDocument/2006/relationships/hyperlink" Target="https://www.scopus.com/inward/record.uri?eid=2-s2.0-105010358443&amp;doi=10.13189%2Fcea.2025.130401&amp;partnerID=40&amp;md5=5105bddea00c9d3bc18c608f7f5e7c31" TargetMode="External"/><Relationship Id="rId79" Type="http://schemas.openxmlformats.org/officeDocument/2006/relationships/hyperlink" Target="https://www.scopus.com/inward/record.uri?eid=2-s2.0-105022444519&amp;doi=10.1080%2F23311886.2025.2588049&amp;partnerID=40&amp;md5=7bbb13a1cc54b92fb013dfe662a923af" TargetMode="External"/><Relationship Id="rId5" Type="http://schemas.openxmlformats.org/officeDocument/2006/relationships/hyperlink" Target="https://www.scopus.com/inward/record.uri?eid=2-s2.0-85074936244&amp;doi=10.1080%2f19491247.2019.1662639&amp;partnerID=40&amp;md5=f2743a78a27158c189c8e912cdbf7f9d" TargetMode="External"/><Relationship Id="rId61" Type="http://schemas.openxmlformats.org/officeDocument/2006/relationships/hyperlink" Target="https://www.scopus.com/inward/record.uri?eid=2-s2.0-84924965646&amp;partnerID=40&amp;md5=9a3a686c8dce2cbf3d09c03fb71cb28e" TargetMode="External"/><Relationship Id="rId82" Type="http://schemas.openxmlformats.org/officeDocument/2006/relationships/hyperlink" Target="https://www.scopus.com/inward/record.uri?eid=2-s2.0-105004676021&amp;doi=10.1108%2FIJHMA-01-2025-0017&amp;partnerID=40&amp;md5=18293b24a992a5f32117aa1b8141ba6b" TargetMode="External"/><Relationship Id="rId19" Type="http://schemas.openxmlformats.org/officeDocument/2006/relationships/hyperlink" Target="https://www.scopus.com/inward/record.uri?eid=2-s2.0-85195842323&amp;doi=10.2478%2fremav-2024-0027&amp;partnerID=40&amp;md5=d1a9ed3c8e6c17fb918a1e72d362e622" TargetMode="External"/><Relationship Id="rId14" Type="http://schemas.openxmlformats.org/officeDocument/2006/relationships/hyperlink" Target="https://www.scopus.com/inward/record.uri?eid=2-s2.0-85213447423&amp;doi=10.2478%2fgeosc-2024-0011&amp;partnerID=40&amp;md5=1a43e6fba6717e684e7dc4b90efe31fa" TargetMode="External"/><Relationship Id="rId22" Type="http://schemas.openxmlformats.org/officeDocument/2006/relationships/hyperlink" Target="https://www.scopus.com/inward/record.uri?eid=2-s2.0-85153743236&amp;doi=10.14246%2firspsd.11.2_199&amp;partnerID=40&amp;md5=b20a046bc4c0d7084bf276261fe72f78" TargetMode="External"/><Relationship Id="rId27" Type="http://schemas.openxmlformats.org/officeDocument/2006/relationships/hyperlink" Target="https://www.scopus.com/inward/record.uri?eid=2-s2.0-84907581411&amp;partnerID=40&amp;md5=c258fb067959a983eb22fb7325af3ae5" TargetMode="External"/><Relationship Id="rId30" Type="http://schemas.openxmlformats.org/officeDocument/2006/relationships/hyperlink" Target="https://www.scopus.com/inward/record.uri?eid=2-s2.0-85207216379&amp;doi=10.1108%2fEDI-05-2024-0196&amp;partnerID=40&amp;md5=cd91a0459fa766363abcd1b818dcdac7" TargetMode="External"/><Relationship Id="rId35" Type="http://schemas.openxmlformats.org/officeDocument/2006/relationships/hyperlink" Target="https://www.scopus.com/inward/record.uri?eid=2-s2.0-85084485363&amp;doi=10.1080%2f08111146.2020.1753690&amp;partnerID=40&amp;md5=721cc1dc1bedc8b4ccad30c875fcb288" TargetMode="External"/><Relationship Id="rId43" Type="http://schemas.openxmlformats.org/officeDocument/2006/relationships/hyperlink" Target="https://www.scopus.com/inward/record.uri?eid=2-s2.0-84907692140&amp;partnerID=40&amp;md5=4357bb01581a0ab33aa414baf6991e2f" TargetMode="External"/><Relationship Id="rId48" Type="http://schemas.openxmlformats.org/officeDocument/2006/relationships/hyperlink" Target="https://www.scopus.com/inward/record.uri?eid=2-s2.0-79955455068&amp;doi=10.1177%2f0042098010375325&amp;partnerID=40&amp;md5=00a9df7351a1231f61daaf682834e6ea" TargetMode="External"/><Relationship Id="rId56" Type="http://schemas.openxmlformats.org/officeDocument/2006/relationships/hyperlink" Target="https://www.scopus.com/inward/record.uri?eid=2-s2.0-77957863869&amp;doi=10.1080%2f01442872.2010.497261&amp;partnerID=40&amp;md5=95b919c549ac37d2f788a05d10738690" TargetMode="External"/><Relationship Id="rId64" Type="http://schemas.openxmlformats.org/officeDocument/2006/relationships/hyperlink" Target="https://www.scopus.com/inward/record.uri?eid=2-s2.0-85116176722&amp;partnerID=40&amp;md5=a410bcfe28be835809707cb780ad6c55" TargetMode="External"/><Relationship Id="rId69" Type="http://schemas.openxmlformats.org/officeDocument/2006/relationships/hyperlink" Target="https://www.scopus.com/inward/record.uri?eid=2-s2.0-85098088163&amp;doi=10.18408%2fAHURI7321501&amp;partnerID=40&amp;md5=5a6776a688ffd3e22801b9332d75bddc" TargetMode="External"/><Relationship Id="rId77" Type="http://schemas.openxmlformats.org/officeDocument/2006/relationships/hyperlink" Target="https://www.scopus.com/inward/record.uri?eid=2-s2.0-105024085024&amp;doi=10.3389%2Ffbuil.2025.1715060&amp;partnerID=40&amp;md5=a8a65baa11522366d040e38e04b7eb6c" TargetMode="External"/><Relationship Id="rId8" Type="http://schemas.openxmlformats.org/officeDocument/2006/relationships/hyperlink" Target="https://www.scopus.com/inward/record.uri?eid=2-s2.0-85116175944&amp;partnerID=40&amp;md5=b5463592c0b440e451c78049e261902f" TargetMode="External"/><Relationship Id="rId51" Type="http://schemas.openxmlformats.org/officeDocument/2006/relationships/hyperlink" Target="https://www.scopus.com/inward/record.uri?eid=2-s2.0-85190113762&amp;doi=10.3390%2fsu16072803&amp;partnerID=40&amp;md5=5902cd1f24ed0c0c754bfeb47611ea90" TargetMode="External"/><Relationship Id="rId72" Type="http://schemas.openxmlformats.org/officeDocument/2006/relationships/hyperlink" Target="https://www.scopus.com/inward/record.uri?eid=2-s2.0-105008547434&amp;doi=10.1016%2Fj.habitatint.2025.103482&amp;partnerID=40&amp;md5=804a9d641a5c6186b914b43b98f23394" TargetMode="External"/><Relationship Id="rId80" Type="http://schemas.openxmlformats.org/officeDocument/2006/relationships/hyperlink" Target="https://www.scopus.com/inward/record.uri?eid=2-s2.0-105021990303&amp;doi=10.1177%2F00420980251385863&amp;partnerID=40&amp;md5=2910e8f695bc651e2efc84871c4d983e" TargetMode="External"/><Relationship Id="rId3" Type="http://schemas.openxmlformats.org/officeDocument/2006/relationships/hyperlink" Target="https://www.scopus.com/inward/record.uri?eid=2-s2.0-84907532751&amp;partnerID=40&amp;md5=42bc9c2c04d2e8a68d5704d628551d92" TargetMode="External"/><Relationship Id="rId12" Type="http://schemas.openxmlformats.org/officeDocument/2006/relationships/hyperlink" Target="https://www.scopus.com/inward/record.uri?eid=2-s2.0-85116177450&amp;partnerID=40&amp;md5=8c82323ee40d4c61468b4fc7c0b4a6e0" TargetMode="External"/><Relationship Id="rId17" Type="http://schemas.openxmlformats.org/officeDocument/2006/relationships/hyperlink" Target="https://www.scopus.com/inward/record.uri?eid=2-s2.0-84868147099&amp;doi=10.1080%2f02673037.2012.677998&amp;partnerID=40&amp;md5=7093c50ed8f061a53c8cd26ecf5dcf34" TargetMode="External"/><Relationship Id="rId25" Type="http://schemas.openxmlformats.org/officeDocument/2006/relationships/hyperlink" Target="https://www.scopus.com/inward/record.uri?eid=2-s2.0-84910143795&amp;partnerID=40&amp;md5=35b3604c34337004a0a7e0b362233daa" TargetMode="External"/><Relationship Id="rId33" Type="http://schemas.openxmlformats.org/officeDocument/2006/relationships/hyperlink" Target="https://www.scopus.com/inward/record.uri?eid=2-s2.0-85075099889&amp;doi=10.1080%2f07293682.2019.1632361&amp;partnerID=40&amp;md5=5497c8c080ac0a53c90281ce47465eef" TargetMode="External"/><Relationship Id="rId38" Type="http://schemas.openxmlformats.org/officeDocument/2006/relationships/hyperlink" Target="https://www.scopus.com/inward/record.uri?eid=2-s2.0-85028664007&amp;doi=10.13060%2f23362839.2014.1.1.26&amp;partnerID=40&amp;md5=aaaf90ebfda208890415b0430c400667" TargetMode="External"/><Relationship Id="rId46" Type="http://schemas.openxmlformats.org/officeDocument/2006/relationships/hyperlink" Target="https://www.scopus.com/inward/record.uri?eid=2-s2.0-84979067085&amp;doi=10.1080%2f14616718.2016.1198084&amp;partnerID=40&amp;md5=1e8677bc4d3cf374158ab5111087ad2a" TargetMode="External"/><Relationship Id="rId59" Type="http://schemas.openxmlformats.org/officeDocument/2006/relationships/hyperlink" Target="https://www.scopus.com/inward/record.uri?eid=2-s2.0-85070874587&amp;doi=10.18408%2fahuri-7110101&amp;partnerID=40&amp;md5=5926eb7d6f37db1ca20cd72b1e97e607" TargetMode="External"/><Relationship Id="rId67" Type="http://schemas.openxmlformats.org/officeDocument/2006/relationships/hyperlink" Target="https://www.scopus.com/inward/record.uri?eid=2-s2.0-85103605634&amp;doi=10.18408%2fAHURI7320001&amp;partnerID=40&amp;md5=1c4a8478411e16df590191504b387cd4" TargetMode="External"/><Relationship Id="rId20" Type="http://schemas.openxmlformats.org/officeDocument/2006/relationships/hyperlink" Target="https://www.scopus.com/inward/record.uri?eid=2-s2.0-85165879616&amp;doi=10.1080%2f15228835.2023.2239310&amp;partnerID=40&amp;md5=ae9d7b885cd9cbc4669e31cba412c1f1" TargetMode="External"/><Relationship Id="rId41" Type="http://schemas.openxmlformats.org/officeDocument/2006/relationships/hyperlink" Target="https://www.scopus.com/inward/record.uri?eid=2-s2.0-85079685660&amp;doi=10.3390%2fsu12020683&amp;partnerID=40&amp;md5=f6bf55d8f50554c087c57d7f5ef37aa3" TargetMode="External"/><Relationship Id="rId54" Type="http://schemas.openxmlformats.org/officeDocument/2006/relationships/hyperlink" Target="https://www.scopus.com/inward/record.uri?eid=2-s2.0-85125487759&amp;doi=10.1016%2fj.jclepro.2022.130956&amp;partnerID=40&amp;md5=e9d889487e33fcbf6380e371fdc40ca4" TargetMode="External"/><Relationship Id="rId62" Type="http://schemas.openxmlformats.org/officeDocument/2006/relationships/hyperlink" Target="https://www.scopus.com/inward/record.uri?eid=2-s2.0-84915746006&amp;partnerID=40&amp;md5=f3f344e9e082783a4cce262e4a0e1a87" TargetMode="External"/><Relationship Id="rId70" Type="http://schemas.openxmlformats.org/officeDocument/2006/relationships/hyperlink" Target="https://www.scopus.com/inward/record.uri?eid=2-s2.0-105025975603&amp;doi=10.3390%2Furbansci9120547&amp;partnerID=40&amp;md5=9197f85bfa8a2801199ae324115406c9" TargetMode="External"/><Relationship Id="rId75" Type="http://schemas.openxmlformats.org/officeDocument/2006/relationships/hyperlink" Target="https://www.scopus.com/inward/record.uri?eid=2-s2.0-105007063608&amp;doi=10.1371%2Fjournal.pone.0325274&amp;partnerID=40&amp;md5=e2fda00bea97ca18e65cdb528a12a5b4" TargetMode="External"/><Relationship Id="rId83" Type="http://schemas.openxmlformats.org/officeDocument/2006/relationships/hyperlink" Target="https://www.scopus.com/inward/record.uri?eid=2-s2.0-105003197964&amp;doi=10.1080%2F10511482.2025.2479464&amp;partnerID=40&amp;md5=6645aedfffad0007d4cd4900456ad63a" TargetMode="External"/><Relationship Id="rId1" Type="http://schemas.openxmlformats.org/officeDocument/2006/relationships/hyperlink" Target="https://www.scopus.com/inward/record.uri?eid=2-s2.0-85196748938&amp;doi=10.33430%2fV31N1THIE-2023-0042&amp;partnerID=40&amp;md5=a88a537b2ff612f7a50e9d9a67057c94" TargetMode="External"/><Relationship Id="rId6" Type="http://schemas.openxmlformats.org/officeDocument/2006/relationships/hyperlink" Target="https://www.scopus.com/inward/record.uri?eid=2-s2.0-84878014376&amp;doi=10.1007%2fs10901-012-9305-6&amp;partnerID=40&amp;md5=3c1024075c745490dfc5458aa21e856e" TargetMode="External"/><Relationship Id="rId15" Type="http://schemas.openxmlformats.org/officeDocument/2006/relationships/hyperlink" Target="https://www.scopus.com/inward/record.uri?eid=2-s2.0-85215134782&amp;doi=10.1108%2fIJHMA-09-2024-0139&amp;partnerID=40&amp;md5=b834234b54f18c4ff6dd06f6d543a111" TargetMode="External"/><Relationship Id="rId23" Type="http://schemas.openxmlformats.org/officeDocument/2006/relationships/hyperlink" Target="https://creativecommons.org/licenses/by-nc-nd/4.0/" TargetMode="External"/><Relationship Id="rId28" Type="http://schemas.openxmlformats.org/officeDocument/2006/relationships/hyperlink" Target="https://www.scopus.com/inward/record.uri?eid=2-s2.0-85141103282&amp;doi=10.13060%2f23362839.2022.9.2.546&amp;partnerID=40&amp;md5=41794278ce5584a8bd84a1ea155cc9fa" TargetMode="External"/><Relationship Id="rId36" Type="http://schemas.openxmlformats.org/officeDocument/2006/relationships/hyperlink" Target="https://www.scopus.com/inward/record.uri?eid=2-s2.0-85215989115&amp;doi=10.1093%2fwbro%2flkae005&amp;partnerID=40&amp;md5=f2a79be16cf0f9d26f4257c3aa763391" TargetMode="External"/><Relationship Id="rId49" Type="http://schemas.openxmlformats.org/officeDocument/2006/relationships/hyperlink" Target="https://www.scopus.com/inward/record.uri?eid=2-s2.0-85067906702&amp;doi=10.1080%2f08111146.2017.1374944&amp;partnerID=40&amp;md5=99baf0679f362fde830daa1a4b6eba95" TargetMode="External"/><Relationship Id="rId57" Type="http://schemas.openxmlformats.org/officeDocument/2006/relationships/hyperlink" Target="https://www.scopus.com/inward/record.uri?eid=2-s2.0-85081212619&amp;doi=10.1080%2f07352166.2019.1705846&amp;partnerID=40&amp;md5=55c9fc914553a30c45f1bfc9805bfb38" TargetMode="External"/><Relationship Id="rId10" Type="http://schemas.openxmlformats.org/officeDocument/2006/relationships/hyperlink" Target="https://www.scopus.com/inward/record.uri?eid=2-s2.0-85149369241&amp;doi=10.18408%2fahuri4127501&amp;partnerID=40&amp;md5=b83e98ebdf9ef2018fd70a6813e81390" TargetMode="External"/><Relationship Id="rId31" Type="http://schemas.openxmlformats.org/officeDocument/2006/relationships/hyperlink" Target="https://www.scopus.com/inward/record.uri?eid=2-s2.0-84945766056&amp;doi=10.1080%2f08111149008551443&amp;partnerID=40&amp;md5=6f0bf9c8c0f8693cc0cb32e08d25a35f" TargetMode="External"/><Relationship Id="rId44" Type="http://schemas.openxmlformats.org/officeDocument/2006/relationships/hyperlink" Target="https://www.scopus.com/inward/record.uri?eid=2-s2.0-85106559272&amp;doi=10.14246%2fIRSPSD.9.2_41&amp;partnerID=40&amp;md5=fce1f16a1684e09f7a5e1aeaa97d1666" TargetMode="External"/><Relationship Id="rId52" Type="http://schemas.openxmlformats.org/officeDocument/2006/relationships/hyperlink" Target="https://www.scopus.com/inward/record.uri?eid=2-s2.0-66349124760&amp;doi=10.1080%2f10511482.2008.9521654&amp;partnerID=40&amp;md5=496cf6cce5e197793e0bbe154d16d545" TargetMode="External"/><Relationship Id="rId60" Type="http://schemas.openxmlformats.org/officeDocument/2006/relationships/hyperlink" Target="https://www.scopus.com/inward/record.uri?eid=2-s2.0-84911987826&amp;doi=10.1080%2f02673037.2014.927420&amp;partnerID=40&amp;md5=eb010170c19dbcf7fc671e313489fe26" TargetMode="External"/><Relationship Id="rId65" Type="http://schemas.openxmlformats.org/officeDocument/2006/relationships/hyperlink" Target="https://www.scopus.com/inward/record.uri?eid=2-s2.0-85071732575&amp;doi=10.18408%2fahuri-5310202&amp;partnerID=40&amp;md5=7b036cfa94f89939067a65542c1d7b23" TargetMode="External"/><Relationship Id="rId73" Type="http://schemas.openxmlformats.org/officeDocument/2006/relationships/hyperlink" Target="https://www.scopus.com/inward/record.uri?eid=2-s2.0-105015051991&amp;doi=10.14445%2F23488352%2FIJCE-V12I8P119&amp;partnerID=40&amp;md5=9da2940f505058f6ae53934ca04079f5" TargetMode="External"/><Relationship Id="rId78" Type="http://schemas.openxmlformats.org/officeDocument/2006/relationships/hyperlink" Target="https://www.scopus.com/inward/record.uri?eid=2-s2.0-105023685950&amp;doi=10.3389%2Ffbuil.2025.1653057&amp;partnerID=40&amp;md5=1570c27fdfa373f6a50c6f3fdd0fddf1" TargetMode="External"/><Relationship Id="rId81" Type="http://schemas.openxmlformats.org/officeDocument/2006/relationships/hyperlink" Target="https://www.scopus.com/inward/record.uri?eid=2-s2.0-105006920960&amp;doi=10.1111%2F1467-923X.13550&amp;partnerID=40&amp;md5=74c778c227a904bb7dde1caaa2a9e36a" TargetMode="External"/><Relationship Id="rId4" Type="http://schemas.openxmlformats.org/officeDocument/2006/relationships/hyperlink" Target="https://www.scopus.com/inward/record.uri?eid=2-s2.0-85127295409&amp;doi=10.1007%2fs11146-022-09896-y&amp;partnerID=40&amp;md5=94df65ae36a354ab818ace0b989825df" TargetMode="External"/><Relationship Id="rId9" Type="http://schemas.openxmlformats.org/officeDocument/2006/relationships/hyperlink" Target="https://www.scopus.com/inward/record.uri?eid=2-s2.0-85065735332&amp;doi=10.21837%2fpmjournal.v17.i9.595&amp;partnerID=40&amp;md5=9284168b20d7494f597429c73c1b52f7" TargetMode="External"/><Relationship Id="rId13" Type="http://schemas.openxmlformats.org/officeDocument/2006/relationships/hyperlink" Target="https://www.scopus.com/inward/record.uri?eid=2-s2.0-84861398787&amp;doi=10.1108%2f17538271111172157&amp;partnerID=40&amp;md5=f814787113e700c981d69618413cb901" TargetMode="External"/><Relationship Id="rId18" Type="http://schemas.openxmlformats.org/officeDocument/2006/relationships/hyperlink" Target="https://www.scopus.com/inward/record.uri?eid=2-s2.0-85042224045&amp;doi=10.1080%2f15623599.2018.1435154&amp;partnerID=40&amp;md5=9590f9e6f352d837c9c81bec52be933d" TargetMode="External"/><Relationship Id="rId39" Type="http://schemas.openxmlformats.org/officeDocument/2006/relationships/hyperlink" Target="https://www.scopus.com/inward/record.uri?eid=2-s2.0-85070866992&amp;doi=10.18408%2fahuri-5315301&amp;partnerID=40&amp;md5=613fdd7422b3d98e6b7f441b2842f0f8" TargetMode="External"/><Relationship Id="rId34" Type="http://schemas.openxmlformats.org/officeDocument/2006/relationships/hyperlink" Target="https://www.scopus.com/inward/record.uri?eid=2-s2.0-85071367224&amp;doi=10.18408%2fahuri-7313001&amp;partnerID=40&amp;md5=d59f3dd1bf4f04207379382aff082992" TargetMode="External"/><Relationship Id="rId50" Type="http://schemas.openxmlformats.org/officeDocument/2006/relationships/hyperlink" Target="https://www.scopus.com/inward/record.uri?eid=2-s2.0-84861384590&amp;doi=10.1108%2f17538271111172166&amp;partnerID=40&amp;md5=94ccc140fd3681c6214855ea8a8a94e8" TargetMode="External"/><Relationship Id="rId55" Type="http://schemas.openxmlformats.org/officeDocument/2006/relationships/hyperlink" Target="https://www.scopus.com/inward/record.uri?eid=2-s2.0-85085933340&amp;doi=10.3280%2fSUR2019-119004&amp;partnerID=40&amp;md5=391f3a68d650fb98d4b001bf4441b778" TargetMode="External"/><Relationship Id="rId76" Type="http://schemas.openxmlformats.org/officeDocument/2006/relationships/hyperlink" Target="https://www.scopus.com/inward/record.uri?eid=2-s2.0-105026690886&amp;doi=10.21837%2Fpm.v23i38.1880&amp;partnerID=40&amp;md5=24cf42168a26f7e4172d3393495bb980" TargetMode="External"/><Relationship Id="rId7" Type="http://schemas.openxmlformats.org/officeDocument/2006/relationships/hyperlink" Target="https://www.scopus.com/inward/record.uri?eid=2-s2.0-85068992347&amp;doi=10.1177%2f0308518X19862811&amp;partnerID=40&amp;md5=cc316ad1496609fe113b2cb989ed3ba4" TargetMode="External"/><Relationship Id="rId71" Type="http://schemas.openxmlformats.org/officeDocument/2006/relationships/hyperlink" Target="https://www.scopus.com/inward/record.uri?eid=2-s2.0-105023864517&amp;doi=10.1016%2Fj.jbvi.2025.e00585&amp;partnerID=40&amp;md5=793b999218b0f8debeaaa71d22b64ba9" TargetMode="External"/><Relationship Id="rId2" Type="http://schemas.openxmlformats.org/officeDocument/2006/relationships/hyperlink" Target="https://www.scopus.com/inward/record.uri?eid=2-s2.0-85211769479&amp;doi=10.1080%2f19463138.2024.2429393&amp;partnerID=40&amp;md5=215dcc3ec2dfb51b0112f8632075f144" TargetMode="External"/><Relationship Id="rId29" Type="http://schemas.openxmlformats.org/officeDocument/2006/relationships/hyperlink" Target="https://www.scopus.com/inward/record.uri?eid=2-s2.0-85023170554&amp;doi=10.1080%2f14036096.2017.1348392&amp;partnerID=40&amp;md5=041e325ada3d6abcd0ccaa0b7e326fe1" TargetMode="External"/><Relationship Id="rId24" Type="http://schemas.openxmlformats.org/officeDocument/2006/relationships/hyperlink" Target="https://www.scopus.com/inward/record.uri?eid=2-s2.0-85083853002&amp;doi=10.1080%2f02673037.2020.1746244&amp;partnerID=40&amp;md5=524444b80f7e5de7f0def77341f0cbf7" TargetMode="External"/><Relationship Id="rId40" Type="http://schemas.openxmlformats.org/officeDocument/2006/relationships/hyperlink" Target="https://www.scopus.com/inward/record.uri?eid=2-s2.0-85174831248&amp;doi=10.1016%2fj.regsciurbeco.2023.103948&amp;partnerID=40&amp;md5=792634f0e88dace459cb78954d07313b" TargetMode="External"/><Relationship Id="rId45" Type="http://schemas.openxmlformats.org/officeDocument/2006/relationships/hyperlink" Target="https://www.scopus.com/inward/record.uri?eid=2-s2.0-84932120792&amp;doi=10.1089%2fenv.2015.0006&amp;partnerID=40&amp;md5=95a8683e51a8abfe926a870ae6b821d4" TargetMode="External"/><Relationship Id="rId66" Type="http://schemas.openxmlformats.org/officeDocument/2006/relationships/hyperlink" Target="https://www.scopus.com/inward/record.uri?eid=2-s2.0-85111394281&amp;doi=10.1080%2f10511482.2021.1929389&amp;partnerID=40&amp;md5=c0cba240e5152b856df801139366390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86"/>
  <sheetViews>
    <sheetView showGridLines="0" workbookViewId="0">
      <selection activeCell="B140" sqref="B140"/>
    </sheetView>
  </sheetViews>
  <sheetFormatPr defaultColWidth="14.44140625" defaultRowHeight="15" customHeight="1"/>
  <cols>
    <col min="1" max="1" width="29.33203125" style="30" customWidth="1"/>
    <col min="2" max="2" width="33.44140625" style="30" customWidth="1"/>
    <col min="3" max="3" width="56" style="30" customWidth="1"/>
    <col min="4" max="5" width="18.88671875" style="30" customWidth="1"/>
    <col min="6" max="6" width="5.109375" style="30" hidden="1" customWidth="1"/>
    <col min="7" max="7" width="20.33203125" style="30" hidden="1" customWidth="1"/>
    <col min="8" max="8" width="7.33203125" style="30" hidden="1" customWidth="1"/>
    <col min="9" max="9" width="5.6640625" style="30" hidden="1" customWidth="1"/>
    <col min="10" max="10" width="7.44140625" style="30" hidden="1" customWidth="1"/>
    <col min="11" max="11" width="9.6640625" style="30" hidden="1" customWidth="1"/>
    <col min="12" max="12" width="9" style="30" hidden="1" customWidth="1"/>
    <col min="13" max="13" width="10.44140625" style="30" hidden="1" customWidth="1"/>
    <col min="14" max="14" width="8" style="30" hidden="1" customWidth="1"/>
    <col min="15" max="15" width="28.6640625" style="30" hidden="1" customWidth="1"/>
    <col min="16" max="16" width="32.33203125" style="30" hidden="1" customWidth="1"/>
    <col min="17" max="17" width="34.6640625" style="30" hidden="1" customWidth="1"/>
    <col min="18" max="18" width="31.44140625" style="30" hidden="1" customWidth="1"/>
    <col min="19" max="19" width="111.6640625" style="30" customWidth="1"/>
    <col min="20" max="20" width="53.44140625" style="30" customWidth="1"/>
    <col min="21" max="21" width="26.109375" style="30" customWidth="1"/>
    <col min="22" max="22" width="47.44140625" style="30" customWidth="1"/>
    <col min="23" max="23" width="10.88671875" style="30" customWidth="1"/>
    <col min="24" max="24" width="15.88671875" customWidth="1"/>
    <col min="25" max="25" width="7.44140625" customWidth="1"/>
    <col min="26" max="26" width="8.33203125" customWidth="1"/>
  </cols>
  <sheetData>
    <row r="1" spans="1:26" ht="20.25" customHeight="1">
      <c r="A1" s="9" t="s">
        <v>0</v>
      </c>
      <c r="B1" s="9" t="s">
        <v>1</v>
      </c>
      <c r="C1" s="9" t="s">
        <v>2</v>
      </c>
      <c r="D1" s="10" t="s">
        <v>3</v>
      </c>
      <c r="E1" s="10" t="s">
        <v>4</v>
      </c>
      <c r="F1" s="9" t="s">
        <v>5</v>
      </c>
      <c r="G1" s="9" t="s">
        <v>6</v>
      </c>
      <c r="H1" s="9" t="s">
        <v>7</v>
      </c>
      <c r="I1" s="9" t="s">
        <v>8</v>
      </c>
      <c r="J1" s="9" t="s">
        <v>9</v>
      </c>
      <c r="K1" s="9" t="s">
        <v>10</v>
      </c>
      <c r="L1" s="9" t="s">
        <v>11</v>
      </c>
      <c r="M1" s="9" t="s">
        <v>12</v>
      </c>
      <c r="N1" s="9" t="s">
        <v>13</v>
      </c>
      <c r="O1" s="9" t="s">
        <v>14</v>
      </c>
      <c r="P1" s="9" t="s">
        <v>15</v>
      </c>
      <c r="Q1" s="9" t="s">
        <v>16</v>
      </c>
      <c r="R1" s="11" t="s">
        <v>17</v>
      </c>
      <c r="S1" s="11" t="s">
        <v>18</v>
      </c>
      <c r="T1" s="11" t="s">
        <v>19</v>
      </c>
      <c r="U1" s="12" t="s">
        <v>20</v>
      </c>
      <c r="V1" s="11" t="s">
        <v>21</v>
      </c>
      <c r="W1" s="11" t="s">
        <v>22</v>
      </c>
      <c r="X1" s="1" t="s">
        <v>23</v>
      </c>
      <c r="Y1" s="1" t="s">
        <v>24</v>
      </c>
      <c r="Z1" s="2"/>
    </row>
    <row r="2" spans="1:26" ht="20.25" customHeight="1">
      <c r="A2" s="5" t="s">
        <v>25</v>
      </c>
      <c r="B2" s="5" t="s">
        <v>26</v>
      </c>
      <c r="C2" s="5" t="s">
        <v>27</v>
      </c>
      <c r="D2" s="13" t="s">
        <v>28</v>
      </c>
      <c r="E2" s="14" t="s">
        <v>28</v>
      </c>
      <c r="F2" s="5">
        <v>2012</v>
      </c>
      <c r="G2" s="5" t="s">
        <v>29</v>
      </c>
      <c r="H2" s="5">
        <v>82</v>
      </c>
      <c r="I2" s="5">
        <v>1</v>
      </c>
      <c r="J2" s="5" t="s">
        <v>30</v>
      </c>
      <c r="K2" s="5">
        <v>21</v>
      </c>
      <c r="L2" s="5">
        <v>38</v>
      </c>
      <c r="M2" s="5">
        <v>18</v>
      </c>
      <c r="N2" s="5">
        <v>36</v>
      </c>
      <c r="O2" s="5" t="s">
        <v>31</v>
      </c>
      <c r="P2" s="15" t="str">
        <f>HYPERLINK("http://dx.doi.org/10.1016/j.jebo.2011.12.010","http://dx.doi.org/10.1016/j.jebo.2011.12.010")</f>
        <v>http://dx.doi.org/10.1016/j.jebo.2011.12.010</v>
      </c>
      <c r="Q2" s="5" t="s">
        <v>32</v>
      </c>
      <c r="R2" s="16" t="s">
        <v>33</v>
      </c>
      <c r="S2" s="5" t="s">
        <v>34</v>
      </c>
      <c r="T2" s="5" t="s">
        <v>35</v>
      </c>
      <c r="U2" s="5" t="s">
        <v>36</v>
      </c>
      <c r="V2" s="5" t="s">
        <v>37</v>
      </c>
      <c r="W2" s="5" t="s">
        <v>38</v>
      </c>
      <c r="X2" s="3" t="s">
        <v>39</v>
      </c>
      <c r="Y2" s="3" t="s">
        <v>40</v>
      </c>
      <c r="Z2" s="2"/>
    </row>
    <row r="3" spans="1:26" ht="19.5" customHeight="1">
      <c r="A3" s="9" t="s">
        <v>41</v>
      </c>
      <c r="B3" s="17" t="s">
        <v>42</v>
      </c>
      <c r="C3" s="17" t="s">
        <v>43</v>
      </c>
      <c r="D3" s="14" t="s">
        <v>28</v>
      </c>
      <c r="E3" s="14" t="s">
        <v>28</v>
      </c>
      <c r="F3" s="18">
        <v>2024</v>
      </c>
      <c r="G3" s="19" t="s">
        <v>44</v>
      </c>
      <c r="H3" s="18">
        <v>31</v>
      </c>
      <c r="I3" s="18">
        <v>1</v>
      </c>
      <c r="J3" s="18">
        <v>20230042</v>
      </c>
      <c r="K3" s="18"/>
      <c r="L3" s="18"/>
      <c r="M3" s="18"/>
      <c r="N3" s="18">
        <v>0</v>
      </c>
      <c r="O3" s="17" t="s">
        <v>45</v>
      </c>
      <c r="P3" s="38" t="s">
        <v>46</v>
      </c>
      <c r="Q3" s="17" t="s">
        <v>47</v>
      </c>
      <c r="R3" s="20" t="s">
        <v>48</v>
      </c>
      <c r="S3" s="17" t="s">
        <v>49</v>
      </c>
      <c r="T3" s="17" t="s">
        <v>50</v>
      </c>
      <c r="U3" s="5"/>
      <c r="V3" s="19" t="s">
        <v>51</v>
      </c>
      <c r="W3" s="17" t="s">
        <v>38</v>
      </c>
      <c r="X3" s="4" t="s">
        <v>52</v>
      </c>
      <c r="Y3" s="4" t="s">
        <v>40</v>
      </c>
      <c r="Z3" s="2"/>
    </row>
    <row r="4" spans="1:26" ht="19.5" customHeight="1">
      <c r="A4" s="9" t="s">
        <v>53</v>
      </c>
      <c r="B4" s="17" t="s">
        <v>54</v>
      </c>
      <c r="C4" s="17" t="s">
        <v>55</v>
      </c>
      <c r="D4" s="14" t="s">
        <v>28</v>
      </c>
      <c r="E4" s="14" t="s">
        <v>28</v>
      </c>
      <c r="F4" s="18">
        <v>2024</v>
      </c>
      <c r="G4" s="19" t="s">
        <v>56</v>
      </c>
      <c r="H4" s="18">
        <v>16</v>
      </c>
      <c r="I4" s="18">
        <v>1</v>
      </c>
      <c r="J4" s="18"/>
      <c r="K4" s="18">
        <v>38</v>
      </c>
      <c r="L4" s="18">
        <v>61</v>
      </c>
      <c r="M4" s="18">
        <v>23</v>
      </c>
      <c r="N4" s="18">
        <v>0</v>
      </c>
      <c r="O4" s="17" t="s">
        <v>57</v>
      </c>
      <c r="P4" s="38" t="s">
        <v>58</v>
      </c>
      <c r="Q4" s="17" t="s">
        <v>59</v>
      </c>
      <c r="R4" s="20" t="s">
        <v>60</v>
      </c>
      <c r="S4" s="17" t="s">
        <v>61</v>
      </c>
      <c r="T4" s="17" t="s">
        <v>62</v>
      </c>
      <c r="U4" s="5" t="s">
        <v>63</v>
      </c>
      <c r="V4" s="19" t="s">
        <v>64</v>
      </c>
      <c r="W4" s="17" t="s">
        <v>38</v>
      </c>
      <c r="X4" s="4" t="s">
        <v>65</v>
      </c>
      <c r="Y4" s="4" t="s">
        <v>40</v>
      </c>
      <c r="Z4" s="2"/>
    </row>
    <row r="5" spans="1:26" ht="19.5" customHeight="1">
      <c r="A5" s="5" t="s">
        <v>66</v>
      </c>
      <c r="B5" s="5" t="s">
        <v>67</v>
      </c>
      <c r="C5" s="5" t="s">
        <v>68</v>
      </c>
      <c r="D5" s="14" t="s">
        <v>69</v>
      </c>
      <c r="E5" s="21" t="s">
        <v>70</v>
      </c>
      <c r="F5" s="5">
        <v>2015</v>
      </c>
      <c r="G5" s="5" t="s">
        <v>71</v>
      </c>
      <c r="H5" s="5" t="s">
        <v>30</v>
      </c>
      <c r="I5" s="5" t="s">
        <v>30</v>
      </c>
      <c r="J5" s="5" t="s">
        <v>30</v>
      </c>
      <c r="K5" s="5" t="s">
        <v>30</v>
      </c>
      <c r="L5" s="5" t="s">
        <v>30</v>
      </c>
      <c r="M5" s="5">
        <v>14</v>
      </c>
      <c r="N5" s="5">
        <v>0</v>
      </c>
      <c r="O5" s="5" t="s">
        <v>30</v>
      </c>
      <c r="P5" s="5" t="s">
        <v>30</v>
      </c>
      <c r="Q5" s="5" t="s">
        <v>30</v>
      </c>
      <c r="R5" s="16" t="s">
        <v>72</v>
      </c>
      <c r="S5" s="5" t="s">
        <v>73</v>
      </c>
      <c r="T5" s="5" t="s">
        <v>74</v>
      </c>
      <c r="U5" s="5" t="s">
        <v>30</v>
      </c>
      <c r="V5" s="5" t="s">
        <v>75</v>
      </c>
      <c r="W5" s="5" t="s">
        <v>38</v>
      </c>
      <c r="X5" s="3" t="s">
        <v>30</v>
      </c>
      <c r="Y5" s="3" t="s">
        <v>76</v>
      </c>
      <c r="Z5" s="2"/>
    </row>
    <row r="6" spans="1:26" ht="19.5" customHeight="1">
      <c r="A6" s="9" t="s">
        <v>77</v>
      </c>
      <c r="B6" s="17" t="s">
        <v>78</v>
      </c>
      <c r="C6" s="17" t="s">
        <v>79</v>
      </c>
      <c r="D6" s="14" t="s">
        <v>28</v>
      </c>
      <c r="E6" s="14" t="s">
        <v>28</v>
      </c>
      <c r="F6" s="18">
        <v>2011</v>
      </c>
      <c r="G6" s="19" t="s">
        <v>80</v>
      </c>
      <c r="H6" s="18"/>
      <c r="I6" s="18">
        <v>174</v>
      </c>
      <c r="J6" s="18"/>
      <c r="K6" s="18">
        <v>1</v>
      </c>
      <c r="L6" s="18">
        <v>153</v>
      </c>
      <c r="M6" s="18">
        <v>152</v>
      </c>
      <c r="N6" s="18">
        <v>5</v>
      </c>
      <c r="O6" s="18"/>
      <c r="P6" s="38" t="s">
        <v>81</v>
      </c>
      <c r="Q6" s="17" t="s">
        <v>82</v>
      </c>
      <c r="R6" s="20" t="s">
        <v>83</v>
      </c>
      <c r="S6" s="17" t="s">
        <v>84</v>
      </c>
      <c r="T6" s="17" t="s">
        <v>85</v>
      </c>
      <c r="U6" s="5"/>
      <c r="V6" s="19" t="s">
        <v>86</v>
      </c>
      <c r="W6" s="17" t="s">
        <v>38</v>
      </c>
      <c r="X6" s="4" t="s">
        <v>87</v>
      </c>
      <c r="Y6" s="4" t="s">
        <v>40</v>
      </c>
      <c r="Z6" s="2"/>
    </row>
    <row r="7" spans="1:26" ht="19.5" customHeight="1">
      <c r="A7" s="9" t="s">
        <v>88</v>
      </c>
      <c r="B7" s="17" t="s">
        <v>89</v>
      </c>
      <c r="C7" s="17" t="s">
        <v>90</v>
      </c>
      <c r="D7" s="14" t="s">
        <v>28</v>
      </c>
      <c r="E7" s="14" t="s">
        <v>28</v>
      </c>
      <c r="F7" s="18">
        <v>2023</v>
      </c>
      <c r="G7" s="19" t="s">
        <v>91</v>
      </c>
      <c r="H7" s="18">
        <v>66</v>
      </c>
      <c r="I7" s="18">
        <v>1</v>
      </c>
      <c r="J7" s="18"/>
      <c r="K7" s="18">
        <v>141</v>
      </c>
      <c r="L7" s="18">
        <v>168</v>
      </c>
      <c r="M7" s="18">
        <v>27</v>
      </c>
      <c r="N7" s="18">
        <v>6</v>
      </c>
      <c r="O7" s="17" t="s">
        <v>92</v>
      </c>
      <c r="P7" s="38" t="s">
        <v>93</v>
      </c>
      <c r="Q7" s="17" t="s">
        <v>94</v>
      </c>
      <c r="R7" s="20" t="s">
        <v>95</v>
      </c>
      <c r="S7" s="17" t="s">
        <v>96</v>
      </c>
      <c r="T7" s="17" t="s">
        <v>97</v>
      </c>
      <c r="U7" s="5"/>
      <c r="V7" s="19" t="s">
        <v>98</v>
      </c>
      <c r="W7" s="17" t="s">
        <v>38</v>
      </c>
      <c r="X7" s="4" t="s">
        <v>99</v>
      </c>
      <c r="Y7" s="4" t="s">
        <v>40</v>
      </c>
      <c r="Z7" s="2"/>
    </row>
    <row r="8" spans="1:26" ht="19.5" customHeight="1">
      <c r="A8" s="9" t="s">
        <v>100</v>
      </c>
      <c r="B8" s="17" t="s">
        <v>101</v>
      </c>
      <c r="C8" s="17" t="s">
        <v>102</v>
      </c>
      <c r="D8" s="14" t="s">
        <v>70</v>
      </c>
      <c r="E8" s="10" t="s">
        <v>70</v>
      </c>
      <c r="F8" s="18">
        <v>2013</v>
      </c>
      <c r="G8" s="19" t="s">
        <v>103</v>
      </c>
      <c r="H8" s="18"/>
      <c r="I8" s="18"/>
      <c r="J8" s="18"/>
      <c r="K8" s="18">
        <v>1186</v>
      </c>
      <c r="L8" s="18">
        <v>1195</v>
      </c>
      <c r="M8" s="18">
        <v>9</v>
      </c>
      <c r="N8" s="18">
        <v>0</v>
      </c>
      <c r="O8" s="17" t="s">
        <v>104</v>
      </c>
      <c r="P8" s="38" t="s">
        <v>105</v>
      </c>
      <c r="Q8" s="17" t="s">
        <v>106</v>
      </c>
      <c r="R8" s="20" t="s">
        <v>107</v>
      </c>
      <c r="S8" s="17" t="s">
        <v>108</v>
      </c>
      <c r="T8" s="18"/>
      <c r="U8" s="5" t="s">
        <v>109</v>
      </c>
      <c r="V8" s="22"/>
      <c r="W8" s="17" t="s">
        <v>38</v>
      </c>
      <c r="X8" s="4" t="s">
        <v>110</v>
      </c>
      <c r="Y8" s="4" t="s">
        <v>111</v>
      </c>
      <c r="Z8" s="2"/>
    </row>
    <row r="9" spans="1:26" ht="19.5" customHeight="1">
      <c r="A9" s="5" t="s">
        <v>112</v>
      </c>
      <c r="B9" s="5" t="s">
        <v>113</v>
      </c>
      <c r="C9" s="5" t="s">
        <v>114</v>
      </c>
      <c r="D9" s="14" t="s">
        <v>28</v>
      </c>
      <c r="E9" s="14" t="s">
        <v>28</v>
      </c>
      <c r="F9" s="5">
        <v>2019</v>
      </c>
      <c r="G9" s="5" t="s">
        <v>115</v>
      </c>
      <c r="H9" s="5">
        <v>34</v>
      </c>
      <c r="I9" s="5">
        <v>8</v>
      </c>
      <c r="J9" s="5" t="s">
        <v>30</v>
      </c>
      <c r="K9" s="5">
        <v>1263</v>
      </c>
      <c r="L9" s="5">
        <v>1285</v>
      </c>
      <c r="M9" s="5">
        <v>23</v>
      </c>
      <c r="N9" s="5">
        <v>14</v>
      </c>
      <c r="O9" s="5" t="s">
        <v>116</v>
      </c>
      <c r="P9" s="15" t="str">
        <f>HYPERLINK("http://dx.doi.org/10.1080/02673037.2018.1535054","http://dx.doi.org/10.1080/02673037.2018.1535054")</f>
        <v>http://dx.doi.org/10.1080/02673037.2018.1535054</v>
      </c>
      <c r="Q9" s="5" t="s">
        <v>117</v>
      </c>
      <c r="R9" s="16" t="s">
        <v>118</v>
      </c>
      <c r="S9" s="5" t="s">
        <v>119</v>
      </c>
      <c r="T9" s="5" t="s">
        <v>120</v>
      </c>
      <c r="U9" s="5" t="s">
        <v>121</v>
      </c>
      <c r="V9" s="5" t="s">
        <v>122</v>
      </c>
      <c r="W9" s="5" t="s">
        <v>38</v>
      </c>
      <c r="X9" s="3" t="s">
        <v>123</v>
      </c>
      <c r="Y9" s="3" t="s">
        <v>40</v>
      </c>
      <c r="Z9" s="2"/>
    </row>
    <row r="10" spans="1:26" ht="19.5" customHeight="1">
      <c r="A10" s="9" t="s">
        <v>124</v>
      </c>
      <c r="B10" s="17" t="s">
        <v>125</v>
      </c>
      <c r="C10" s="17" t="s">
        <v>126</v>
      </c>
      <c r="D10" s="14" t="s">
        <v>28</v>
      </c>
      <c r="E10" s="14" t="s">
        <v>28</v>
      </c>
      <c r="F10" s="18">
        <v>2021</v>
      </c>
      <c r="G10" s="19" t="s">
        <v>127</v>
      </c>
      <c r="H10" s="18">
        <v>21</v>
      </c>
      <c r="I10" s="18">
        <v>1</v>
      </c>
      <c r="J10" s="18"/>
      <c r="K10" s="18">
        <v>70</v>
      </c>
      <c r="L10" s="18">
        <v>102</v>
      </c>
      <c r="M10" s="18">
        <v>32</v>
      </c>
      <c r="N10" s="18">
        <v>20</v>
      </c>
      <c r="O10" s="17" t="s">
        <v>128</v>
      </c>
      <c r="P10" s="38" t="s">
        <v>129</v>
      </c>
      <c r="Q10" s="17" t="s">
        <v>130</v>
      </c>
      <c r="R10" s="20" t="s">
        <v>131</v>
      </c>
      <c r="S10" s="17" t="s">
        <v>132</v>
      </c>
      <c r="T10" s="17" t="s">
        <v>133</v>
      </c>
      <c r="U10" s="5" t="s">
        <v>134</v>
      </c>
      <c r="V10" s="19" t="s">
        <v>135</v>
      </c>
      <c r="W10" s="17" t="s">
        <v>38</v>
      </c>
      <c r="X10" s="4" t="s">
        <v>136</v>
      </c>
      <c r="Y10" s="4" t="s">
        <v>40</v>
      </c>
      <c r="Z10" s="2"/>
    </row>
    <row r="11" spans="1:26" ht="19.5" customHeight="1">
      <c r="A11" s="9" t="s">
        <v>137</v>
      </c>
      <c r="B11" s="17" t="s">
        <v>138</v>
      </c>
      <c r="C11" s="17" t="s">
        <v>139</v>
      </c>
      <c r="D11" s="14" t="s">
        <v>28</v>
      </c>
      <c r="E11" s="14" t="s">
        <v>28</v>
      </c>
      <c r="F11" s="18">
        <v>2013</v>
      </c>
      <c r="G11" s="19" t="s">
        <v>140</v>
      </c>
      <c r="H11" s="18">
        <v>28</v>
      </c>
      <c r="I11" s="18">
        <v>2</v>
      </c>
      <c r="J11" s="18"/>
      <c r="K11" s="18">
        <v>397</v>
      </c>
      <c r="L11" s="18">
        <v>407</v>
      </c>
      <c r="M11" s="18">
        <v>10</v>
      </c>
      <c r="N11" s="18">
        <v>30</v>
      </c>
      <c r="O11" s="17" t="s">
        <v>141</v>
      </c>
      <c r="P11" s="38" t="s">
        <v>142</v>
      </c>
      <c r="Q11" s="17" t="s">
        <v>143</v>
      </c>
      <c r="R11" s="20" t="s">
        <v>144</v>
      </c>
      <c r="S11" s="17" t="s">
        <v>145</v>
      </c>
      <c r="T11" s="17" t="s">
        <v>146</v>
      </c>
      <c r="U11" s="5" t="s">
        <v>147</v>
      </c>
      <c r="V11" s="22"/>
      <c r="W11" s="17" t="s">
        <v>38</v>
      </c>
      <c r="X11" s="4" t="s">
        <v>148</v>
      </c>
      <c r="Y11" s="4" t="s">
        <v>40</v>
      </c>
      <c r="Z11" s="2"/>
    </row>
    <row r="12" spans="1:26" ht="19.5" customHeight="1">
      <c r="A12" s="9" t="s">
        <v>149</v>
      </c>
      <c r="B12" s="17" t="s">
        <v>150</v>
      </c>
      <c r="C12" s="17" t="s">
        <v>151</v>
      </c>
      <c r="D12" s="14" t="s">
        <v>28</v>
      </c>
      <c r="E12" s="14" t="s">
        <v>28</v>
      </c>
      <c r="F12" s="18">
        <v>2021</v>
      </c>
      <c r="G12" s="19" t="s">
        <v>152</v>
      </c>
      <c r="H12" s="18">
        <v>53</v>
      </c>
      <c r="I12" s="18">
        <v>3</v>
      </c>
      <c r="J12" s="18"/>
      <c r="K12" s="18">
        <v>480</v>
      </c>
      <c r="L12" s="18">
        <v>502</v>
      </c>
      <c r="M12" s="18">
        <v>22</v>
      </c>
      <c r="N12" s="18">
        <v>63</v>
      </c>
      <c r="O12" s="17" t="s">
        <v>153</v>
      </c>
      <c r="P12" s="38" t="s">
        <v>154</v>
      </c>
      <c r="Q12" s="17" t="s">
        <v>155</v>
      </c>
      <c r="R12" s="20" t="s">
        <v>156</v>
      </c>
      <c r="S12" s="17" t="s">
        <v>157</v>
      </c>
      <c r="T12" s="17" t="s">
        <v>158</v>
      </c>
      <c r="U12" s="5" t="s">
        <v>159</v>
      </c>
      <c r="V12" s="19" t="s">
        <v>160</v>
      </c>
      <c r="W12" s="17" t="s">
        <v>38</v>
      </c>
      <c r="X12" s="4" t="s">
        <v>161</v>
      </c>
      <c r="Y12" s="4" t="s">
        <v>40</v>
      </c>
      <c r="Z12" s="2"/>
    </row>
    <row r="13" spans="1:26" ht="19.5" customHeight="1">
      <c r="A13" s="9" t="s">
        <v>162</v>
      </c>
      <c r="B13" s="17" t="s">
        <v>163</v>
      </c>
      <c r="C13" s="17" t="s">
        <v>164</v>
      </c>
      <c r="D13" s="14" t="s">
        <v>28</v>
      </c>
      <c r="E13" s="14" t="s">
        <v>28</v>
      </c>
      <c r="F13" s="18">
        <v>2013</v>
      </c>
      <c r="G13" s="19" t="s">
        <v>80</v>
      </c>
      <c r="H13" s="18"/>
      <c r="I13" s="18">
        <v>203</v>
      </c>
      <c r="J13" s="18"/>
      <c r="K13" s="18"/>
      <c r="L13" s="18"/>
      <c r="M13" s="18"/>
      <c r="N13" s="18">
        <v>1</v>
      </c>
      <c r="O13" s="18"/>
      <c r="P13" s="38" t="s">
        <v>165</v>
      </c>
      <c r="Q13" s="17" t="s">
        <v>166</v>
      </c>
      <c r="R13" s="20" t="s">
        <v>167</v>
      </c>
      <c r="S13" s="17" t="s">
        <v>168</v>
      </c>
      <c r="T13" s="17" t="s">
        <v>169</v>
      </c>
      <c r="U13" s="5"/>
      <c r="V13" s="19" t="s">
        <v>86</v>
      </c>
      <c r="W13" s="17" t="s">
        <v>38</v>
      </c>
      <c r="X13" s="4" t="s">
        <v>87</v>
      </c>
      <c r="Y13" s="4" t="s">
        <v>170</v>
      </c>
      <c r="Z13" s="2"/>
    </row>
    <row r="14" spans="1:26" ht="19.5" customHeight="1">
      <c r="A14" s="9" t="s">
        <v>171</v>
      </c>
      <c r="B14" s="17" t="s">
        <v>172</v>
      </c>
      <c r="C14" s="17" t="s">
        <v>173</v>
      </c>
      <c r="D14" s="14" t="s">
        <v>28</v>
      </c>
      <c r="E14" s="14" t="s">
        <v>28</v>
      </c>
      <c r="F14" s="18">
        <v>2019</v>
      </c>
      <c r="G14" s="19" t="s">
        <v>174</v>
      </c>
      <c r="H14" s="18">
        <v>17</v>
      </c>
      <c r="I14" s="18">
        <v>1</v>
      </c>
      <c r="J14" s="18"/>
      <c r="K14" s="18">
        <v>160</v>
      </c>
      <c r="L14" s="18">
        <v>175</v>
      </c>
      <c r="M14" s="18">
        <v>15</v>
      </c>
      <c r="N14" s="18">
        <v>4</v>
      </c>
      <c r="O14" s="17" t="s">
        <v>175</v>
      </c>
      <c r="P14" s="38" t="s">
        <v>176</v>
      </c>
      <c r="Q14" s="17" t="s">
        <v>177</v>
      </c>
      <c r="R14" s="20" t="s">
        <v>178</v>
      </c>
      <c r="S14" s="17" t="s">
        <v>179</v>
      </c>
      <c r="T14" s="17" t="s">
        <v>180</v>
      </c>
      <c r="U14" s="5"/>
      <c r="V14" s="19" t="s">
        <v>181</v>
      </c>
      <c r="W14" s="17" t="s">
        <v>38</v>
      </c>
      <c r="X14" s="4" t="s">
        <v>182</v>
      </c>
      <c r="Y14" s="4" t="s">
        <v>40</v>
      </c>
      <c r="Z14" s="2"/>
    </row>
    <row r="15" spans="1:26" ht="19.5" customHeight="1">
      <c r="A15" s="9" t="s">
        <v>183</v>
      </c>
      <c r="B15" s="17" t="s">
        <v>184</v>
      </c>
      <c r="C15" s="17" t="s">
        <v>185</v>
      </c>
      <c r="D15" s="14" t="s">
        <v>28</v>
      </c>
      <c r="E15" s="14" t="s">
        <v>28</v>
      </c>
      <c r="F15" s="18">
        <v>2022</v>
      </c>
      <c r="G15" s="19" t="s">
        <v>80</v>
      </c>
      <c r="H15" s="18"/>
      <c r="I15" s="18">
        <v>392</v>
      </c>
      <c r="J15" s="18"/>
      <c r="K15" s="18"/>
      <c r="L15" s="18"/>
      <c r="M15" s="18"/>
      <c r="N15" s="18">
        <v>1</v>
      </c>
      <c r="O15" s="17" t="s">
        <v>186</v>
      </c>
      <c r="P15" s="38" t="s">
        <v>187</v>
      </c>
      <c r="Q15" s="17" t="s">
        <v>188</v>
      </c>
      <c r="R15" s="20" t="s">
        <v>189</v>
      </c>
      <c r="S15" s="17" t="s">
        <v>190</v>
      </c>
      <c r="T15" s="17" t="s">
        <v>191</v>
      </c>
      <c r="U15" s="5"/>
      <c r="V15" s="19" t="s">
        <v>86</v>
      </c>
      <c r="W15" s="17" t="s">
        <v>38</v>
      </c>
      <c r="X15" s="4" t="s">
        <v>87</v>
      </c>
      <c r="Y15" s="4" t="s">
        <v>40</v>
      </c>
      <c r="Z15" s="2"/>
    </row>
    <row r="16" spans="1:26" ht="19.5" customHeight="1">
      <c r="A16" s="9" t="s">
        <v>192</v>
      </c>
      <c r="B16" s="17" t="s">
        <v>193</v>
      </c>
      <c r="C16" s="17" t="s">
        <v>194</v>
      </c>
      <c r="D16" s="14" t="s">
        <v>28</v>
      </c>
      <c r="E16" s="10" t="s">
        <v>195</v>
      </c>
      <c r="F16" s="18">
        <v>2012</v>
      </c>
      <c r="G16" s="19" t="s">
        <v>80</v>
      </c>
      <c r="H16" s="18"/>
      <c r="I16" s="18">
        <v>185</v>
      </c>
      <c r="J16" s="18"/>
      <c r="K16" s="18"/>
      <c r="L16" s="18"/>
      <c r="M16" s="18"/>
      <c r="N16" s="18">
        <v>1</v>
      </c>
      <c r="O16" s="18"/>
      <c r="P16" s="38" t="s">
        <v>196</v>
      </c>
      <c r="Q16" s="17" t="s">
        <v>197</v>
      </c>
      <c r="R16" s="20" t="s">
        <v>198</v>
      </c>
      <c r="S16" s="17" t="s">
        <v>199</v>
      </c>
      <c r="T16" s="17" t="s">
        <v>200</v>
      </c>
      <c r="U16" s="5"/>
      <c r="V16" s="19" t="s">
        <v>86</v>
      </c>
      <c r="W16" s="17" t="s">
        <v>38</v>
      </c>
      <c r="X16" s="4" t="s">
        <v>87</v>
      </c>
      <c r="Y16" s="4" t="s">
        <v>170</v>
      </c>
      <c r="Z16" s="2"/>
    </row>
    <row r="17" spans="1:26" ht="19.5" customHeight="1">
      <c r="A17" s="9" t="s">
        <v>201</v>
      </c>
      <c r="B17" s="17" t="s">
        <v>202</v>
      </c>
      <c r="C17" s="17" t="s">
        <v>203</v>
      </c>
      <c r="D17" s="14" t="s">
        <v>28</v>
      </c>
      <c r="E17" s="14" t="s">
        <v>28</v>
      </c>
      <c r="F17" s="18">
        <v>2022</v>
      </c>
      <c r="G17" s="19" t="s">
        <v>204</v>
      </c>
      <c r="H17" s="18">
        <v>136</v>
      </c>
      <c r="I17" s="18"/>
      <c r="J17" s="18"/>
      <c r="K17" s="18">
        <v>112</v>
      </c>
      <c r="L17" s="18">
        <v>121</v>
      </c>
      <c r="M17" s="18">
        <v>9</v>
      </c>
      <c r="N17" s="18">
        <v>5</v>
      </c>
      <c r="O17" s="17" t="s">
        <v>205</v>
      </c>
      <c r="P17" s="38" t="s">
        <v>206</v>
      </c>
      <c r="Q17" s="17" t="s">
        <v>207</v>
      </c>
      <c r="R17" s="20" t="s">
        <v>208</v>
      </c>
      <c r="S17" s="17" t="s">
        <v>209</v>
      </c>
      <c r="T17" s="17" t="s">
        <v>210</v>
      </c>
      <c r="U17" s="5" t="s">
        <v>211</v>
      </c>
      <c r="V17" s="19" t="s">
        <v>212</v>
      </c>
      <c r="W17" s="17" t="s">
        <v>38</v>
      </c>
      <c r="X17" s="4" t="s">
        <v>213</v>
      </c>
      <c r="Y17" s="4" t="s">
        <v>40</v>
      </c>
      <c r="Z17" s="2"/>
    </row>
    <row r="18" spans="1:26" ht="19.5" customHeight="1">
      <c r="A18" s="5" t="s">
        <v>214</v>
      </c>
      <c r="B18" s="5" t="s">
        <v>215</v>
      </c>
      <c r="C18" s="5" t="s">
        <v>216</v>
      </c>
      <c r="D18" s="14" t="s">
        <v>28</v>
      </c>
      <c r="E18" s="14" t="s">
        <v>28</v>
      </c>
      <c r="F18" s="5">
        <v>2022</v>
      </c>
      <c r="G18" s="5" t="s">
        <v>217</v>
      </c>
      <c r="H18" s="5">
        <v>62</v>
      </c>
      <c r="I18" s="5">
        <v>1</v>
      </c>
      <c r="J18" s="5" t="s">
        <v>30</v>
      </c>
      <c r="K18" s="5">
        <v>66</v>
      </c>
      <c r="L18" s="5">
        <v>74</v>
      </c>
      <c r="M18" s="5">
        <v>9</v>
      </c>
      <c r="N18" s="5">
        <v>8</v>
      </c>
      <c r="O18" s="5" t="s">
        <v>218</v>
      </c>
      <c r="P18" s="15" t="str">
        <f>HYPERLINK("http://dx.doi.org/10.1093/geront/gnab115","http://dx.doi.org/10.1093/geront/gnab115")</f>
        <v>http://dx.doi.org/10.1093/geront/gnab115</v>
      </c>
      <c r="Q18" s="5" t="s">
        <v>219</v>
      </c>
      <c r="R18" s="16" t="s">
        <v>220</v>
      </c>
      <c r="S18" s="5" t="s">
        <v>221</v>
      </c>
      <c r="T18" s="5" t="s">
        <v>222</v>
      </c>
      <c r="U18" s="5" t="s">
        <v>223</v>
      </c>
      <c r="V18" s="5" t="s">
        <v>224</v>
      </c>
      <c r="W18" s="5" t="s">
        <v>38</v>
      </c>
      <c r="X18" s="3" t="s">
        <v>225</v>
      </c>
      <c r="Y18" s="3" t="s">
        <v>40</v>
      </c>
      <c r="Z18" s="2"/>
    </row>
    <row r="19" spans="1:26" ht="19.5" customHeight="1">
      <c r="A19" s="9" t="s">
        <v>226</v>
      </c>
      <c r="B19" s="17" t="s">
        <v>227</v>
      </c>
      <c r="C19" s="17" t="s">
        <v>228</v>
      </c>
      <c r="D19" s="14" t="s">
        <v>28</v>
      </c>
      <c r="E19" s="14" t="s">
        <v>28</v>
      </c>
      <c r="F19" s="18">
        <v>2012</v>
      </c>
      <c r="G19" s="19" t="s">
        <v>80</v>
      </c>
      <c r="H19" s="18"/>
      <c r="I19" s="18">
        <v>193</v>
      </c>
      <c r="J19" s="18"/>
      <c r="K19" s="18"/>
      <c r="L19" s="18"/>
      <c r="M19" s="18"/>
      <c r="N19" s="18">
        <v>6</v>
      </c>
      <c r="O19" s="18"/>
      <c r="P19" s="38" t="s">
        <v>229</v>
      </c>
      <c r="Q19" s="17" t="s">
        <v>230</v>
      </c>
      <c r="R19" s="20" t="s">
        <v>231</v>
      </c>
      <c r="S19" s="17" t="s">
        <v>232</v>
      </c>
      <c r="T19" s="17" t="s">
        <v>233</v>
      </c>
      <c r="U19" s="5"/>
      <c r="V19" s="19" t="s">
        <v>86</v>
      </c>
      <c r="W19" s="17" t="s">
        <v>38</v>
      </c>
      <c r="X19" s="4" t="s">
        <v>87</v>
      </c>
      <c r="Y19" s="4" t="s">
        <v>40</v>
      </c>
      <c r="Z19" s="2"/>
    </row>
    <row r="20" spans="1:26" ht="19.5" customHeight="1">
      <c r="A20" s="9" t="s">
        <v>234</v>
      </c>
      <c r="B20" s="17" t="s">
        <v>235</v>
      </c>
      <c r="C20" s="17" t="s">
        <v>236</v>
      </c>
      <c r="D20" s="14" t="s">
        <v>28</v>
      </c>
      <c r="E20" s="14" t="s">
        <v>28</v>
      </c>
      <c r="F20" s="18">
        <v>2011</v>
      </c>
      <c r="G20" s="19" t="s">
        <v>237</v>
      </c>
      <c r="H20" s="18">
        <v>4</v>
      </c>
      <c r="I20" s="18">
        <v>4</v>
      </c>
      <c r="J20" s="18"/>
      <c r="K20" s="18">
        <v>357</v>
      </c>
      <c r="L20" s="18">
        <v>368</v>
      </c>
      <c r="M20" s="18">
        <v>11</v>
      </c>
      <c r="N20" s="18">
        <v>24</v>
      </c>
      <c r="O20" s="17" t="s">
        <v>238</v>
      </c>
      <c r="P20" s="38" t="s">
        <v>239</v>
      </c>
      <c r="Q20" s="17" t="s">
        <v>240</v>
      </c>
      <c r="R20" s="20" t="s">
        <v>241</v>
      </c>
      <c r="S20" s="17" t="s">
        <v>242</v>
      </c>
      <c r="T20" s="17" t="s">
        <v>243</v>
      </c>
      <c r="U20" s="5"/>
      <c r="V20" s="22"/>
      <c r="W20" s="17" t="s">
        <v>38</v>
      </c>
      <c r="X20" s="4" t="s">
        <v>244</v>
      </c>
      <c r="Y20" s="4" t="s">
        <v>40</v>
      </c>
      <c r="Z20" s="2"/>
    </row>
    <row r="21" spans="1:26" ht="19.5" customHeight="1">
      <c r="A21" s="9" t="s">
        <v>245</v>
      </c>
      <c r="B21" s="17" t="s">
        <v>246</v>
      </c>
      <c r="C21" s="17" t="s">
        <v>247</v>
      </c>
      <c r="D21" s="14" t="s">
        <v>28</v>
      </c>
      <c r="E21" s="14" t="s">
        <v>28</v>
      </c>
      <c r="F21" s="18">
        <v>2024</v>
      </c>
      <c r="G21" s="19" t="s">
        <v>248</v>
      </c>
      <c r="H21" s="18">
        <v>18</v>
      </c>
      <c r="I21" s="18">
        <v>2</v>
      </c>
      <c r="J21" s="18"/>
      <c r="K21" s="18">
        <v>150</v>
      </c>
      <c r="L21" s="18">
        <v>161</v>
      </c>
      <c r="M21" s="18">
        <v>11</v>
      </c>
      <c r="N21" s="18">
        <v>0</v>
      </c>
      <c r="O21" s="17" t="s">
        <v>249</v>
      </c>
      <c r="P21" s="38" t="s">
        <v>250</v>
      </c>
      <c r="Q21" s="17" t="s">
        <v>251</v>
      </c>
      <c r="R21" s="20" t="s">
        <v>252</v>
      </c>
      <c r="S21" s="17" t="s">
        <v>253</v>
      </c>
      <c r="T21" s="17" t="s">
        <v>254</v>
      </c>
      <c r="U21" s="5"/>
      <c r="V21" s="19" t="s">
        <v>255</v>
      </c>
      <c r="W21" s="17" t="s">
        <v>38</v>
      </c>
      <c r="X21" s="4" t="s">
        <v>256</v>
      </c>
      <c r="Y21" s="4" t="s">
        <v>40</v>
      </c>
      <c r="Z21" s="2"/>
    </row>
    <row r="22" spans="1:26" ht="19.5" customHeight="1">
      <c r="A22" s="9" t="s">
        <v>257</v>
      </c>
      <c r="B22" s="17" t="s">
        <v>258</v>
      </c>
      <c r="C22" s="17" t="s">
        <v>259</v>
      </c>
      <c r="D22" s="14" t="s">
        <v>195</v>
      </c>
      <c r="E22" s="10" t="s">
        <v>195</v>
      </c>
      <c r="F22" s="18">
        <v>2023</v>
      </c>
      <c r="G22" s="19" t="s">
        <v>260</v>
      </c>
      <c r="H22" s="18">
        <v>22</v>
      </c>
      <c r="I22" s="18">
        <v>3</v>
      </c>
      <c r="J22" s="18"/>
      <c r="K22" s="18">
        <v>216</v>
      </c>
      <c r="L22" s="18">
        <v>240</v>
      </c>
      <c r="M22" s="18">
        <v>24</v>
      </c>
      <c r="N22" s="18">
        <v>2</v>
      </c>
      <c r="O22" s="17" t="s">
        <v>261</v>
      </c>
      <c r="P22" s="38" t="s">
        <v>262</v>
      </c>
      <c r="Q22" s="17" t="s">
        <v>263</v>
      </c>
      <c r="R22" s="20" t="s">
        <v>264</v>
      </c>
      <c r="S22" s="17" t="s">
        <v>265</v>
      </c>
      <c r="T22" s="17" t="s">
        <v>266</v>
      </c>
      <c r="U22" s="5" t="s">
        <v>267</v>
      </c>
      <c r="V22" s="19" t="s">
        <v>268</v>
      </c>
      <c r="W22" s="17" t="s">
        <v>38</v>
      </c>
      <c r="X22" s="4" t="s">
        <v>269</v>
      </c>
      <c r="Y22" s="4" t="s">
        <v>40</v>
      </c>
      <c r="Z22" s="2"/>
    </row>
    <row r="23" spans="1:26" ht="19.5" customHeight="1">
      <c r="A23" s="9" t="s">
        <v>270</v>
      </c>
      <c r="B23" s="17" t="s">
        <v>271</v>
      </c>
      <c r="C23" s="17" t="s">
        <v>272</v>
      </c>
      <c r="D23" s="14" t="s">
        <v>28</v>
      </c>
      <c r="E23" s="14" t="s">
        <v>28</v>
      </c>
      <c r="F23" s="18">
        <v>2025</v>
      </c>
      <c r="G23" s="19" t="s">
        <v>237</v>
      </c>
      <c r="H23" s="18"/>
      <c r="I23" s="18"/>
      <c r="J23" s="18"/>
      <c r="K23" s="18"/>
      <c r="L23" s="18"/>
      <c r="M23" s="18"/>
      <c r="N23" s="18">
        <v>0</v>
      </c>
      <c r="O23" s="17" t="s">
        <v>273</v>
      </c>
      <c r="P23" s="38" t="s">
        <v>274</v>
      </c>
      <c r="Q23" s="17" t="s">
        <v>275</v>
      </c>
      <c r="R23" s="20" t="s">
        <v>276</v>
      </c>
      <c r="S23" s="17" t="s">
        <v>277</v>
      </c>
      <c r="T23" s="17" t="s">
        <v>278</v>
      </c>
      <c r="U23" s="5"/>
      <c r="V23" s="19" t="s">
        <v>279</v>
      </c>
      <c r="W23" s="17" t="s">
        <v>38</v>
      </c>
      <c r="X23" s="4" t="s">
        <v>244</v>
      </c>
      <c r="Y23" s="4" t="s">
        <v>40</v>
      </c>
      <c r="Z23" s="2"/>
    </row>
    <row r="24" spans="1:26" ht="19.5" customHeight="1">
      <c r="A24" s="9" t="s">
        <v>280</v>
      </c>
      <c r="B24" s="17" t="s">
        <v>281</v>
      </c>
      <c r="C24" s="17" t="s">
        <v>282</v>
      </c>
      <c r="D24" s="14" t="s">
        <v>28</v>
      </c>
      <c r="E24" s="14" t="s">
        <v>28</v>
      </c>
      <c r="F24" s="18">
        <v>2022</v>
      </c>
      <c r="G24" s="19" t="s">
        <v>283</v>
      </c>
      <c r="H24" s="18">
        <v>87</v>
      </c>
      <c r="I24" s="18">
        <v>1</v>
      </c>
      <c r="J24" s="18"/>
      <c r="K24" s="18">
        <v>167</v>
      </c>
      <c r="L24" s="18">
        <v>181</v>
      </c>
      <c r="M24" s="18">
        <v>14</v>
      </c>
      <c r="N24" s="18">
        <v>7</v>
      </c>
      <c r="O24" s="17" t="s">
        <v>284</v>
      </c>
      <c r="P24" s="38" t="s">
        <v>285</v>
      </c>
      <c r="Q24" s="17" t="s">
        <v>286</v>
      </c>
      <c r="R24" s="20" t="s">
        <v>287</v>
      </c>
      <c r="S24" s="17" t="s">
        <v>288</v>
      </c>
      <c r="T24" s="17" t="s">
        <v>289</v>
      </c>
      <c r="U24" s="5" t="s">
        <v>290</v>
      </c>
      <c r="V24" s="19" t="s">
        <v>291</v>
      </c>
      <c r="W24" s="17" t="s">
        <v>38</v>
      </c>
      <c r="X24" s="4" t="s">
        <v>292</v>
      </c>
      <c r="Y24" s="4" t="s">
        <v>40</v>
      </c>
      <c r="Z24" s="2"/>
    </row>
    <row r="25" spans="1:26" ht="19.5" customHeight="1">
      <c r="A25" s="9" t="s">
        <v>293</v>
      </c>
      <c r="B25" s="17" t="s">
        <v>294</v>
      </c>
      <c r="C25" s="17" t="s">
        <v>295</v>
      </c>
      <c r="D25" s="14" t="s">
        <v>28</v>
      </c>
      <c r="E25" s="14" t="s">
        <v>28</v>
      </c>
      <c r="F25" s="18">
        <v>2012</v>
      </c>
      <c r="G25" s="19" t="s">
        <v>115</v>
      </c>
      <c r="H25" s="18">
        <v>27</v>
      </c>
      <c r="I25" s="18">
        <v>4</v>
      </c>
      <c r="J25" s="18"/>
      <c r="K25" s="18">
        <v>457</v>
      </c>
      <c r="L25" s="18">
        <v>475</v>
      </c>
      <c r="M25" s="18">
        <v>18</v>
      </c>
      <c r="N25" s="18">
        <v>30</v>
      </c>
      <c r="O25" s="17" t="s">
        <v>296</v>
      </c>
      <c r="P25" s="38" t="s">
        <v>297</v>
      </c>
      <c r="Q25" s="17" t="s">
        <v>298</v>
      </c>
      <c r="R25" s="20" t="s">
        <v>299</v>
      </c>
      <c r="S25" s="17" t="s">
        <v>300</v>
      </c>
      <c r="T25" s="17" t="s">
        <v>301</v>
      </c>
      <c r="U25" s="5" t="s">
        <v>302</v>
      </c>
      <c r="V25" s="22"/>
      <c r="W25" s="17" t="s">
        <v>38</v>
      </c>
      <c r="X25" s="4" t="s">
        <v>123</v>
      </c>
      <c r="Y25" s="4" t="s">
        <v>40</v>
      </c>
      <c r="Z25" s="2"/>
    </row>
    <row r="26" spans="1:26" ht="19.5" customHeight="1">
      <c r="A26" s="9" t="s">
        <v>303</v>
      </c>
      <c r="B26" s="17" t="s">
        <v>304</v>
      </c>
      <c r="C26" s="17" t="s">
        <v>305</v>
      </c>
      <c r="D26" s="14" t="s">
        <v>195</v>
      </c>
      <c r="E26" s="10" t="s">
        <v>195</v>
      </c>
      <c r="F26" s="18">
        <v>2024</v>
      </c>
      <c r="G26" s="19" t="s">
        <v>306</v>
      </c>
      <c r="H26" s="18">
        <v>195</v>
      </c>
      <c r="I26" s="18"/>
      <c r="J26" s="18">
        <v>114341</v>
      </c>
      <c r="K26" s="18"/>
      <c r="L26" s="18"/>
      <c r="M26" s="18"/>
      <c r="N26" s="18">
        <v>1</v>
      </c>
      <c r="O26" s="17" t="s">
        <v>307</v>
      </c>
      <c r="P26" s="38" t="s">
        <v>308</v>
      </c>
      <c r="Q26" s="17" t="s">
        <v>309</v>
      </c>
      <c r="R26" s="20" t="s">
        <v>310</v>
      </c>
      <c r="S26" s="17" t="s">
        <v>311</v>
      </c>
      <c r="T26" s="17" t="s">
        <v>312</v>
      </c>
      <c r="U26" s="5" t="s">
        <v>313</v>
      </c>
      <c r="V26" s="19" t="s">
        <v>212</v>
      </c>
      <c r="W26" s="17" t="s">
        <v>38</v>
      </c>
      <c r="X26" s="4" t="s">
        <v>314</v>
      </c>
      <c r="Y26" s="4" t="s">
        <v>40</v>
      </c>
      <c r="Z26" s="2"/>
    </row>
    <row r="27" spans="1:26" ht="19.5" customHeight="1">
      <c r="A27" s="9" t="s">
        <v>315</v>
      </c>
      <c r="B27" s="17" t="s">
        <v>316</v>
      </c>
      <c r="C27" s="17" t="s">
        <v>317</v>
      </c>
      <c r="D27" s="14" t="s">
        <v>28</v>
      </c>
      <c r="E27" s="14" t="s">
        <v>28</v>
      </c>
      <c r="F27" s="18">
        <v>2019</v>
      </c>
      <c r="G27" s="19" t="s">
        <v>318</v>
      </c>
      <c r="H27" s="18">
        <v>19</v>
      </c>
      <c r="I27" s="18">
        <v>4</v>
      </c>
      <c r="J27" s="18"/>
      <c r="K27" s="18">
        <v>354</v>
      </c>
      <c r="L27" s="18">
        <v>369</v>
      </c>
      <c r="M27" s="18">
        <v>15</v>
      </c>
      <c r="N27" s="18">
        <v>38</v>
      </c>
      <c r="O27" s="17" t="s">
        <v>319</v>
      </c>
      <c r="P27" s="38" t="s">
        <v>320</v>
      </c>
      <c r="Q27" s="17" t="s">
        <v>321</v>
      </c>
      <c r="R27" s="20" t="s">
        <v>322</v>
      </c>
      <c r="S27" s="17" t="s">
        <v>323</v>
      </c>
      <c r="T27" s="17" t="s">
        <v>324</v>
      </c>
      <c r="U27" s="5"/>
      <c r="V27" s="19" t="s">
        <v>64</v>
      </c>
      <c r="W27" s="17" t="s">
        <v>38</v>
      </c>
      <c r="X27" s="4" t="s">
        <v>325</v>
      </c>
      <c r="Y27" s="4" t="s">
        <v>40</v>
      </c>
      <c r="Z27" s="2"/>
    </row>
    <row r="28" spans="1:26" ht="19.5" customHeight="1">
      <c r="A28" s="9" t="s">
        <v>326</v>
      </c>
      <c r="B28" s="17" t="s">
        <v>327</v>
      </c>
      <c r="C28" s="17" t="s">
        <v>328</v>
      </c>
      <c r="D28" s="14" t="s">
        <v>28</v>
      </c>
      <c r="E28" s="14" t="s">
        <v>28</v>
      </c>
      <c r="F28" s="18">
        <v>2024</v>
      </c>
      <c r="G28" s="19" t="s">
        <v>329</v>
      </c>
      <c r="H28" s="18">
        <v>32</v>
      </c>
      <c r="I28" s="18">
        <v>3</v>
      </c>
      <c r="J28" s="18"/>
      <c r="K28" s="18">
        <v>87</v>
      </c>
      <c r="L28" s="18">
        <v>100</v>
      </c>
      <c r="M28" s="18">
        <v>13</v>
      </c>
      <c r="N28" s="18">
        <v>0</v>
      </c>
      <c r="O28" s="17" t="s">
        <v>330</v>
      </c>
      <c r="P28" s="38" t="s">
        <v>331</v>
      </c>
      <c r="Q28" s="17" t="s">
        <v>332</v>
      </c>
      <c r="R28" s="20" t="s">
        <v>333</v>
      </c>
      <c r="S28" s="17" t="s">
        <v>334</v>
      </c>
      <c r="T28" s="17" t="s">
        <v>335</v>
      </c>
      <c r="U28" s="5"/>
      <c r="V28" s="19" t="s">
        <v>255</v>
      </c>
      <c r="W28" s="17" t="s">
        <v>38</v>
      </c>
      <c r="X28" s="4" t="s">
        <v>336</v>
      </c>
      <c r="Y28" s="4" t="s">
        <v>40</v>
      </c>
      <c r="Z28" s="2"/>
    </row>
    <row r="29" spans="1:26" ht="19.5" customHeight="1">
      <c r="A29" s="9" t="s">
        <v>337</v>
      </c>
      <c r="B29" s="17" t="s">
        <v>338</v>
      </c>
      <c r="C29" s="17" t="s">
        <v>339</v>
      </c>
      <c r="D29" s="14" t="s">
        <v>195</v>
      </c>
      <c r="E29" s="10" t="s">
        <v>195</v>
      </c>
      <c r="F29" s="18">
        <v>2021</v>
      </c>
      <c r="G29" s="19" t="s">
        <v>340</v>
      </c>
      <c r="H29" s="18">
        <v>12</v>
      </c>
      <c r="I29" s="18">
        <v>1</v>
      </c>
      <c r="J29" s="18"/>
      <c r="K29" s="18">
        <v>228</v>
      </c>
      <c r="L29" s="18">
        <v>239</v>
      </c>
      <c r="M29" s="18">
        <v>11</v>
      </c>
      <c r="N29" s="18">
        <v>2</v>
      </c>
      <c r="O29" s="17" t="s">
        <v>341</v>
      </c>
      <c r="P29" s="38" t="s">
        <v>342</v>
      </c>
      <c r="Q29" s="17" t="s">
        <v>343</v>
      </c>
      <c r="R29" s="20" t="s">
        <v>344</v>
      </c>
      <c r="S29" s="17" t="s">
        <v>345</v>
      </c>
      <c r="T29" s="17" t="s">
        <v>346</v>
      </c>
      <c r="U29" s="5"/>
      <c r="V29" s="19" t="s">
        <v>347</v>
      </c>
      <c r="W29" s="17" t="s">
        <v>38</v>
      </c>
      <c r="X29" s="4" t="s">
        <v>348</v>
      </c>
      <c r="Y29" s="4" t="s">
        <v>40</v>
      </c>
      <c r="Z29" s="2"/>
    </row>
    <row r="30" spans="1:26" ht="19.5" customHeight="1">
      <c r="A30" s="9" t="s">
        <v>349</v>
      </c>
      <c r="B30" s="17" t="s">
        <v>350</v>
      </c>
      <c r="C30" s="17" t="s">
        <v>351</v>
      </c>
      <c r="D30" s="14" t="s">
        <v>28</v>
      </c>
      <c r="E30" s="14" t="s">
        <v>28</v>
      </c>
      <c r="F30" s="18">
        <v>2023</v>
      </c>
      <c r="G30" s="19" t="s">
        <v>352</v>
      </c>
      <c r="H30" s="18">
        <v>41</v>
      </c>
      <c r="I30" s="18">
        <v>3</v>
      </c>
      <c r="J30" s="18"/>
      <c r="K30" s="18">
        <v>203</v>
      </c>
      <c r="L30" s="18">
        <v>229</v>
      </c>
      <c r="M30" s="18">
        <v>26</v>
      </c>
      <c r="N30" s="18">
        <v>6</v>
      </c>
      <c r="O30" s="17" t="s">
        <v>353</v>
      </c>
      <c r="P30" s="38" t="s">
        <v>354</v>
      </c>
      <c r="Q30" s="17" t="s">
        <v>355</v>
      </c>
      <c r="R30" s="20" t="s">
        <v>356</v>
      </c>
      <c r="S30" s="17" t="s">
        <v>357</v>
      </c>
      <c r="T30" s="17" t="s">
        <v>358</v>
      </c>
      <c r="U30" s="5" t="s">
        <v>359</v>
      </c>
      <c r="V30" s="19" t="s">
        <v>135</v>
      </c>
      <c r="W30" s="17" t="s">
        <v>38</v>
      </c>
      <c r="X30" s="4" t="s">
        <v>360</v>
      </c>
      <c r="Y30" s="4" t="s">
        <v>40</v>
      </c>
      <c r="Z30" s="2"/>
    </row>
    <row r="31" spans="1:26" ht="19.5" customHeight="1">
      <c r="A31" s="9" t="s">
        <v>361</v>
      </c>
      <c r="B31" s="17" t="s">
        <v>362</v>
      </c>
      <c r="C31" s="17" t="s">
        <v>363</v>
      </c>
      <c r="D31" s="14" t="s">
        <v>70</v>
      </c>
      <c r="E31" s="10" t="s">
        <v>70</v>
      </c>
      <c r="F31" s="18">
        <v>2007</v>
      </c>
      <c r="G31" s="19" t="s">
        <v>364</v>
      </c>
      <c r="H31" s="18"/>
      <c r="I31" s="18"/>
      <c r="J31" s="18"/>
      <c r="K31" s="18">
        <v>451</v>
      </c>
      <c r="L31" s="18">
        <v>458</v>
      </c>
      <c r="M31" s="18">
        <v>7</v>
      </c>
      <c r="N31" s="18">
        <v>0</v>
      </c>
      <c r="O31" s="18"/>
      <c r="P31" s="38" t="s">
        <v>365</v>
      </c>
      <c r="Q31" s="17" t="s">
        <v>366</v>
      </c>
      <c r="R31" s="20" t="s">
        <v>367</v>
      </c>
      <c r="S31" s="17" t="s">
        <v>368</v>
      </c>
      <c r="T31" s="17" t="s">
        <v>369</v>
      </c>
      <c r="U31" s="5" t="s">
        <v>370</v>
      </c>
      <c r="V31" s="22"/>
      <c r="W31" s="17" t="s">
        <v>38</v>
      </c>
      <c r="X31" s="4" t="s">
        <v>371</v>
      </c>
      <c r="Y31" s="4" t="s">
        <v>111</v>
      </c>
      <c r="Z31" s="2"/>
    </row>
    <row r="32" spans="1:26" ht="19.5" customHeight="1">
      <c r="A32" s="9" t="s">
        <v>372</v>
      </c>
      <c r="B32" s="17" t="s">
        <v>373</v>
      </c>
      <c r="C32" s="17" t="s">
        <v>374</v>
      </c>
      <c r="D32" s="14" t="s">
        <v>28</v>
      </c>
      <c r="E32" s="14" t="s">
        <v>28</v>
      </c>
      <c r="F32" s="18">
        <v>2013</v>
      </c>
      <c r="G32" s="19" t="s">
        <v>237</v>
      </c>
      <c r="H32" s="18">
        <v>6</v>
      </c>
      <c r="I32" s="18">
        <v>3</v>
      </c>
      <c r="J32" s="18"/>
      <c r="K32" s="18">
        <v>269</v>
      </c>
      <c r="L32" s="18">
        <v>283</v>
      </c>
      <c r="M32" s="18">
        <v>14</v>
      </c>
      <c r="N32" s="18">
        <v>11</v>
      </c>
      <c r="O32" s="17" t="s">
        <v>375</v>
      </c>
      <c r="P32" s="38" t="s">
        <v>376</v>
      </c>
      <c r="Q32" s="17" t="s">
        <v>377</v>
      </c>
      <c r="R32" s="20" t="s">
        <v>378</v>
      </c>
      <c r="S32" s="17" t="s">
        <v>379</v>
      </c>
      <c r="T32" s="17" t="s">
        <v>380</v>
      </c>
      <c r="U32" s="5"/>
      <c r="V32" s="22"/>
      <c r="W32" s="17" t="s">
        <v>38</v>
      </c>
      <c r="X32" s="4" t="s">
        <v>244</v>
      </c>
      <c r="Y32" s="4" t="s">
        <v>40</v>
      </c>
      <c r="Z32" s="2"/>
    </row>
    <row r="33" spans="1:26" ht="19.5" customHeight="1">
      <c r="A33" s="9" t="s">
        <v>381</v>
      </c>
      <c r="B33" s="17" t="s">
        <v>382</v>
      </c>
      <c r="C33" s="17" t="s">
        <v>383</v>
      </c>
      <c r="D33" s="14" t="s">
        <v>28</v>
      </c>
      <c r="E33" s="14" t="s">
        <v>28</v>
      </c>
      <c r="F33" s="18">
        <v>2023</v>
      </c>
      <c r="G33" s="19" t="s">
        <v>384</v>
      </c>
      <c r="H33" s="18">
        <v>11</v>
      </c>
      <c r="I33" s="18">
        <v>2</v>
      </c>
      <c r="J33" s="18"/>
      <c r="K33" s="18">
        <v>199</v>
      </c>
      <c r="L33" s="18">
        <v>221</v>
      </c>
      <c r="M33" s="18">
        <v>22</v>
      </c>
      <c r="N33" s="18">
        <v>2</v>
      </c>
      <c r="O33" s="17" t="s">
        <v>385</v>
      </c>
      <c r="P33" s="38" t="s">
        <v>386</v>
      </c>
      <c r="Q33" s="17" t="s">
        <v>387</v>
      </c>
      <c r="R33" s="20" t="s">
        <v>388</v>
      </c>
      <c r="S33" s="38" t="s">
        <v>389</v>
      </c>
      <c r="T33" s="17" t="s">
        <v>390</v>
      </c>
      <c r="U33" s="5" t="s">
        <v>391</v>
      </c>
      <c r="V33" s="19" t="s">
        <v>392</v>
      </c>
      <c r="W33" s="17" t="s">
        <v>38</v>
      </c>
      <c r="X33" s="4" t="s">
        <v>393</v>
      </c>
      <c r="Y33" s="4" t="s">
        <v>40</v>
      </c>
      <c r="Z33" s="2"/>
    </row>
    <row r="34" spans="1:26" ht="19.5" customHeight="1">
      <c r="A34" s="9" t="s">
        <v>394</v>
      </c>
      <c r="B34" s="17" t="s">
        <v>395</v>
      </c>
      <c r="C34" s="17" t="s">
        <v>396</v>
      </c>
      <c r="D34" s="14" t="s">
        <v>70</v>
      </c>
      <c r="E34" s="10" t="s">
        <v>70</v>
      </c>
      <c r="F34" s="18">
        <v>2017</v>
      </c>
      <c r="G34" s="19" t="s">
        <v>397</v>
      </c>
      <c r="H34" s="18"/>
      <c r="I34" s="18"/>
      <c r="J34" s="18"/>
      <c r="K34" s="18">
        <v>825</v>
      </c>
      <c r="L34" s="18">
        <v>830</v>
      </c>
      <c r="M34" s="18">
        <v>5</v>
      </c>
      <c r="N34" s="18">
        <v>0</v>
      </c>
      <c r="O34" s="18"/>
      <c r="P34" s="38" t="s">
        <v>398</v>
      </c>
      <c r="Q34" s="17" t="s">
        <v>399</v>
      </c>
      <c r="R34" s="20" t="s">
        <v>400</v>
      </c>
      <c r="S34" s="17" t="s">
        <v>401</v>
      </c>
      <c r="T34" s="17" t="s">
        <v>402</v>
      </c>
      <c r="U34" s="5" t="s">
        <v>403</v>
      </c>
      <c r="V34" s="19" t="s">
        <v>404</v>
      </c>
      <c r="W34" s="17" t="s">
        <v>38</v>
      </c>
      <c r="X34" s="4" t="s">
        <v>405</v>
      </c>
      <c r="Y34" s="4" t="s">
        <v>111</v>
      </c>
      <c r="Z34" s="2"/>
    </row>
    <row r="35" spans="1:26" ht="19.5" customHeight="1">
      <c r="A35" s="9" t="s">
        <v>406</v>
      </c>
      <c r="B35" s="17" t="s">
        <v>407</v>
      </c>
      <c r="C35" s="17" t="s">
        <v>408</v>
      </c>
      <c r="D35" s="14" t="s">
        <v>195</v>
      </c>
      <c r="E35" s="10" t="s">
        <v>195</v>
      </c>
      <c r="F35" s="18">
        <v>2020</v>
      </c>
      <c r="G35" s="19" t="s">
        <v>409</v>
      </c>
      <c r="H35" s="18">
        <v>243</v>
      </c>
      <c r="I35" s="18"/>
      <c r="J35" s="18">
        <v>118657</v>
      </c>
      <c r="K35" s="18"/>
      <c r="L35" s="18"/>
      <c r="M35" s="18"/>
      <c r="N35" s="18">
        <v>24</v>
      </c>
      <c r="O35" s="17" t="s">
        <v>410</v>
      </c>
      <c r="P35" s="38" t="s">
        <v>411</v>
      </c>
      <c r="Q35" s="17" t="s">
        <v>412</v>
      </c>
      <c r="R35" s="20" t="s">
        <v>413</v>
      </c>
      <c r="S35" s="17" t="s">
        <v>414</v>
      </c>
      <c r="T35" s="17" t="s">
        <v>415</v>
      </c>
      <c r="U35" s="5" t="s">
        <v>416</v>
      </c>
      <c r="V35" s="19" t="s">
        <v>212</v>
      </c>
      <c r="W35" s="17" t="s">
        <v>38</v>
      </c>
      <c r="X35" s="4" t="s">
        <v>417</v>
      </c>
      <c r="Y35" s="4" t="s">
        <v>40</v>
      </c>
      <c r="Z35" s="2"/>
    </row>
    <row r="36" spans="1:26" ht="19.5" customHeight="1">
      <c r="A36" s="9" t="s">
        <v>418</v>
      </c>
      <c r="B36" s="17" t="s">
        <v>419</v>
      </c>
      <c r="C36" s="17" t="s">
        <v>420</v>
      </c>
      <c r="D36" s="14" t="s">
        <v>195</v>
      </c>
      <c r="E36" s="10" t="s">
        <v>195</v>
      </c>
      <c r="F36" s="18">
        <v>2022</v>
      </c>
      <c r="G36" s="19" t="s">
        <v>421</v>
      </c>
      <c r="H36" s="18">
        <v>17</v>
      </c>
      <c r="I36" s="18">
        <v>3</v>
      </c>
      <c r="J36" s="18"/>
      <c r="K36" s="18">
        <v>1343</v>
      </c>
      <c r="L36" s="18">
        <v>1387</v>
      </c>
      <c r="M36" s="18">
        <v>44</v>
      </c>
      <c r="N36" s="18">
        <v>14</v>
      </c>
      <c r="O36" s="17" t="s">
        <v>422</v>
      </c>
      <c r="P36" s="38" t="s">
        <v>423</v>
      </c>
      <c r="Q36" s="17" t="s">
        <v>424</v>
      </c>
      <c r="R36" s="20" t="s">
        <v>425</v>
      </c>
      <c r="S36" s="17" t="s">
        <v>426</v>
      </c>
      <c r="T36" s="17" t="s">
        <v>427</v>
      </c>
      <c r="U36" s="5"/>
      <c r="V36" s="19" t="s">
        <v>428</v>
      </c>
      <c r="W36" s="17" t="s">
        <v>38</v>
      </c>
      <c r="X36" s="4" t="s">
        <v>429</v>
      </c>
      <c r="Y36" s="4" t="s">
        <v>40</v>
      </c>
      <c r="Z36" s="2"/>
    </row>
    <row r="37" spans="1:26" ht="19.5" customHeight="1">
      <c r="A37" s="9" t="s">
        <v>430</v>
      </c>
      <c r="B37" s="17" t="s">
        <v>431</v>
      </c>
      <c r="C37" s="17" t="s">
        <v>432</v>
      </c>
      <c r="D37" s="14" t="s">
        <v>28</v>
      </c>
      <c r="E37" s="14" t="s">
        <v>28</v>
      </c>
      <c r="F37" s="18">
        <v>2021</v>
      </c>
      <c r="G37" s="19" t="s">
        <v>115</v>
      </c>
      <c r="H37" s="18">
        <v>36</v>
      </c>
      <c r="I37" s="18">
        <v>7</v>
      </c>
      <c r="J37" s="18"/>
      <c r="K37" s="18">
        <v>1086</v>
      </c>
      <c r="L37" s="18">
        <v>1121</v>
      </c>
      <c r="M37" s="18">
        <v>35</v>
      </c>
      <c r="N37" s="18">
        <v>9</v>
      </c>
      <c r="O37" s="17" t="s">
        <v>433</v>
      </c>
      <c r="P37" s="38" t="s">
        <v>434</v>
      </c>
      <c r="Q37" s="17" t="s">
        <v>435</v>
      </c>
      <c r="R37" s="20" t="s">
        <v>436</v>
      </c>
      <c r="S37" s="17" t="s">
        <v>437</v>
      </c>
      <c r="T37" s="17" t="s">
        <v>438</v>
      </c>
      <c r="U37" s="5" t="s">
        <v>439</v>
      </c>
      <c r="V37" s="19" t="s">
        <v>135</v>
      </c>
      <c r="W37" s="17" t="s">
        <v>38</v>
      </c>
      <c r="X37" s="4" t="s">
        <v>123</v>
      </c>
      <c r="Y37" s="4" t="s">
        <v>40</v>
      </c>
      <c r="Z37" s="2"/>
    </row>
    <row r="38" spans="1:26" ht="19.5" customHeight="1">
      <c r="A38" s="9" t="s">
        <v>440</v>
      </c>
      <c r="B38" s="17" t="s">
        <v>441</v>
      </c>
      <c r="C38" s="17" t="s">
        <v>442</v>
      </c>
      <c r="D38" s="14" t="s">
        <v>195</v>
      </c>
      <c r="E38" s="10" t="s">
        <v>195</v>
      </c>
      <c r="F38" s="18">
        <v>2024</v>
      </c>
      <c r="G38" s="19" t="s">
        <v>443</v>
      </c>
      <c r="H38" s="18">
        <v>8</v>
      </c>
      <c r="I38" s="18">
        <v>4</v>
      </c>
      <c r="J38" s="18"/>
      <c r="K38" s="18">
        <v>1000</v>
      </c>
      <c r="L38" s="18">
        <v>1035</v>
      </c>
      <c r="M38" s="18">
        <v>35</v>
      </c>
      <c r="N38" s="18">
        <v>13</v>
      </c>
      <c r="O38" s="17" t="s">
        <v>444</v>
      </c>
      <c r="P38" s="38" t="s">
        <v>445</v>
      </c>
      <c r="Q38" s="17" t="s">
        <v>446</v>
      </c>
      <c r="R38" s="20" t="s">
        <v>447</v>
      </c>
      <c r="S38" s="17" t="s">
        <v>448</v>
      </c>
      <c r="T38" s="17" t="s">
        <v>449</v>
      </c>
      <c r="U38" s="5" t="s">
        <v>450</v>
      </c>
      <c r="V38" s="19" t="s">
        <v>451</v>
      </c>
      <c r="W38" s="17" t="s">
        <v>38</v>
      </c>
      <c r="X38" s="4" t="s">
        <v>452</v>
      </c>
      <c r="Y38" s="4" t="s">
        <v>40</v>
      </c>
      <c r="Z38" s="2"/>
    </row>
    <row r="39" spans="1:26" ht="19.5" customHeight="1">
      <c r="A39" s="9" t="s">
        <v>453</v>
      </c>
      <c r="B39" s="17" t="s">
        <v>454</v>
      </c>
      <c r="C39" s="17" t="s">
        <v>455</v>
      </c>
      <c r="D39" s="14" t="s">
        <v>456</v>
      </c>
      <c r="E39" s="10" t="s">
        <v>456</v>
      </c>
      <c r="F39" s="18">
        <v>2010</v>
      </c>
      <c r="G39" s="19" t="s">
        <v>457</v>
      </c>
      <c r="H39" s="18">
        <v>50</v>
      </c>
      <c r="I39" s="18">
        <v>1</v>
      </c>
      <c r="J39" s="18"/>
      <c r="K39" s="18">
        <v>24</v>
      </c>
      <c r="L39" s="18">
        <v>26</v>
      </c>
      <c r="M39" s="18">
        <v>2</v>
      </c>
      <c r="N39" s="18">
        <v>0</v>
      </c>
      <c r="O39" s="18"/>
      <c r="P39" s="38" t="s">
        <v>458</v>
      </c>
      <c r="Q39" s="17" t="s">
        <v>459</v>
      </c>
      <c r="R39" s="20" t="s">
        <v>460</v>
      </c>
      <c r="S39" s="17" t="s">
        <v>461</v>
      </c>
      <c r="T39" s="18"/>
      <c r="U39" s="5" t="s">
        <v>462</v>
      </c>
      <c r="V39" s="22"/>
      <c r="W39" s="17" t="s">
        <v>38</v>
      </c>
      <c r="X39" s="4" t="s">
        <v>463</v>
      </c>
      <c r="Y39" s="4" t="s">
        <v>40</v>
      </c>
      <c r="Z39" s="2"/>
    </row>
    <row r="40" spans="1:26" ht="19.5" customHeight="1">
      <c r="A40" s="9" t="s">
        <v>464</v>
      </c>
      <c r="B40" s="17" t="s">
        <v>465</v>
      </c>
      <c r="C40" s="17" t="s">
        <v>466</v>
      </c>
      <c r="D40" s="14" t="s">
        <v>195</v>
      </c>
      <c r="E40" s="10" t="s">
        <v>195</v>
      </c>
      <c r="F40" s="18">
        <v>2012</v>
      </c>
      <c r="G40" s="19" t="s">
        <v>80</v>
      </c>
      <c r="H40" s="18"/>
      <c r="I40" s="18">
        <v>196</v>
      </c>
      <c r="J40" s="18"/>
      <c r="K40" s="18"/>
      <c r="L40" s="18"/>
      <c r="M40" s="18"/>
      <c r="N40" s="18">
        <v>6</v>
      </c>
      <c r="O40" s="18"/>
      <c r="P40" s="38" t="s">
        <v>467</v>
      </c>
      <c r="Q40" s="17" t="s">
        <v>468</v>
      </c>
      <c r="R40" s="20" t="s">
        <v>469</v>
      </c>
      <c r="S40" s="38" t="s">
        <v>470</v>
      </c>
      <c r="T40" s="17" t="s">
        <v>471</v>
      </c>
      <c r="U40" s="5"/>
      <c r="V40" s="19" t="s">
        <v>86</v>
      </c>
      <c r="W40" s="17" t="s">
        <v>38</v>
      </c>
      <c r="X40" s="4" t="s">
        <v>87</v>
      </c>
      <c r="Y40" s="4" t="s">
        <v>170</v>
      </c>
      <c r="Z40" s="2"/>
    </row>
    <row r="41" spans="1:26" ht="19.5" customHeight="1">
      <c r="A41" s="5" t="s">
        <v>472</v>
      </c>
      <c r="B41" s="5" t="s">
        <v>473</v>
      </c>
      <c r="C41" s="5" t="s">
        <v>474</v>
      </c>
      <c r="D41" s="13" t="s">
        <v>70</v>
      </c>
      <c r="E41" s="21" t="s">
        <v>70</v>
      </c>
      <c r="F41" s="5">
        <v>2016</v>
      </c>
      <c r="G41" s="5" t="s">
        <v>475</v>
      </c>
      <c r="H41" s="5">
        <v>223</v>
      </c>
      <c r="I41" s="5" t="s">
        <v>30</v>
      </c>
      <c r="J41" s="5" t="s">
        <v>30</v>
      </c>
      <c r="K41" s="5">
        <v>181</v>
      </c>
      <c r="L41" s="5">
        <v>186</v>
      </c>
      <c r="M41" s="5">
        <v>6</v>
      </c>
      <c r="N41" s="5">
        <v>9</v>
      </c>
      <c r="O41" s="5" t="s">
        <v>476</v>
      </c>
      <c r="P41" s="15" t="str">
        <f>HYPERLINK("http://dx.doi.org/10.1016/j.sbspro.2016.05.345","http://dx.doi.org/10.1016/j.sbspro.2016.05.345")</f>
        <v>http://dx.doi.org/10.1016/j.sbspro.2016.05.345</v>
      </c>
      <c r="Q41" s="5" t="s">
        <v>477</v>
      </c>
      <c r="R41" s="16" t="s">
        <v>478</v>
      </c>
      <c r="S41" s="5" t="s">
        <v>479</v>
      </c>
      <c r="T41" s="5" t="s">
        <v>480</v>
      </c>
      <c r="U41" s="5" t="s">
        <v>30</v>
      </c>
      <c r="V41" s="5" t="s">
        <v>37</v>
      </c>
      <c r="W41" s="5" t="s">
        <v>38</v>
      </c>
      <c r="X41" s="3" t="s">
        <v>30</v>
      </c>
      <c r="Y41" s="3" t="s">
        <v>76</v>
      </c>
      <c r="Z41" s="2"/>
    </row>
    <row r="42" spans="1:26" ht="19.5" customHeight="1">
      <c r="A42" s="9" t="s">
        <v>481</v>
      </c>
      <c r="B42" s="17" t="s">
        <v>482</v>
      </c>
      <c r="C42" s="17" t="s">
        <v>483</v>
      </c>
      <c r="D42" s="14" t="s">
        <v>28</v>
      </c>
      <c r="E42" s="14" t="s">
        <v>28</v>
      </c>
      <c r="F42" s="18">
        <v>2014</v>
      </c>
      <c r="G42" s="19" t="s">
        <v>80</v>
      </c>
      <c r="H42" s="18"/>
      <c r="I42" s="18">
        <v>233</v>
      </c>
      <c r="J42" s="18"/>
      <c r="K42" s="18">
        <v>1</v>
      </c>
      <c r="L42" s="18">
        <v>50</v>
      </c>
      <c r="M42" s="18">
        <v>49</v>
      </c>
      <c r="N42" s="18">
        <v>8</v>
      </c>
      <c r="O42" s="18"/>
      <c r="P42" s="38" t="s">
        <v>484</v>
      </c>
      <c r="Q42" s="17" t="s">
        <v>485</v>
      </c>
      <c r="R42" s="20" t="s">
        <v>486</v>
      </c>
      <c r="S42" s="17" t="s">
        <v>487</v>
      </c>
      <c r="T42" s="17" t="s">
        <v>488</v>
      </c>
      <c r="U42" s="5"/>
      <c r="V42" s="19" t="s">
        <v>86</v>
      </c>
      <c r="W42" s="17" t="s">
        <v>38</v>
      </c>
      <c r="X42" s="4" t="s">
        <v>87</v>
      </c>
      <c r="Y42" s="4" t="s">
        <v>40</v>
      </c>
      <c r="Z42" s="2"/>
    </row>
    <row r="43" spans="1:26" ht="19.5" customHeight="1">
      <c r="A43" s="9" t="s">
        <v>489</v>
      </c>
      <c r="B43" s="17" t="s">
        <v>490</v>
      </c>
      <c r="C43" s="17" t="s">
        <v>491</v>
      </c>
      <c r="D43" s="14" t="s">
        <v>28</v>
      </c>
      <c r="E43" s="14" t="s">
        <v>28</v>
      </c>
      <c r="F43" s="18">
        <v>2024</v>
      </c>
      <c r="G43" s="19" t="s">
        <v>492</v>
      </c>
      <c r="H43" s="18">
        <v>72</v>
      </c>
      <c r="I43" s="18">
        <v>2</v>
      </c>
      <c r="J43" s="18"/>
      <c r="K43" s="18">
        <v>29</v>
      </c>
      <c r="L43" s="18">
        <v>52</v>
      </c>
      <c r="M43" s="18">
        <v>23</v>
      </c>
      <c r="N43" s="18">
        <v>0</v>
      </c>
      <c r="O43" s="17" t="s">
        <v>493</v>
      </c>
      <c r="P43" s="38" t="s">
        <v>494</v>
      </c>
      <c r="Q43" s="17" t="s">
        <v>495</v>
      </c>
      <c r="R43" s="20" t="s">
        <v>496</v>
      </c>
      <c r="S43" s="17" t="s">
        <v>497</v>
      </c>
      <c r="T43" s="17" t="s">
        <v>498</v>
      </c>
      <c r="U43" s="5"/>
      <c r="V43" s="19" t="s">
        <v>255</v>
      </c>
      <c r="W43" s="17" t="s">
        <v>38</v>
      </c>
      <c r="X43" s="4" t="s">
        <v>499</v>
      </c>
      <c r="Y43" s="4" t="s">
        <v>40</v>
      </c>
      <c r="Z43" s="2"/>
    </row>
    <row r="44" spans="1:26" ht="19.5" customHeight="1">
      <c r="A44" s="5" t="s">
        <v>500</v>
      </c>
      <c r="B44" s="5" t="s">
        <v>501</v>
      </c>
      <c r="C44" s="5" t="s">
        <v>502</v>
      </c>
      <c r="D44" s="13" t="s">
        <v>195</v>
      </c>
      <c r="E44" s="21" t="s">
        <v>195</v>
      </c>
      <c r="F44" s="5">
        <v>2022</v>
      </c>
      <c r="G44" s="5" t="s">
        <v>503</v>
      </c>
      <c r="H44" s="5">
        <v>215</v>
      </c>
      <c r="I44" s="5" t="s">
        <v>30</v>
      </c>
      <c r="J44" s="5">
        <v>108956</v>
      </c>
      <c r="K44" s="5" t="s">
        <v>30</v>
      </c>
      <c r="L44" s="5" t="s">
        <v>30</v>
      </c>
      <c r="M44" s="5">
        <v>12</v>
      </c>
      <c r="N44" s="5">
        <v>11</v>
      </c>
      <c r="O44" s="5" t="s">
        <v>504</v>
      </c>
      <c r="P44" s="15" t="str">
        <f>HYPERLINK("http://dx.doi.org/10.1016/j.buildenv.2022.108956","http://dx.doi.org/10.1016/j.buildenv.2022.108956")</f>
        <v>http://dx.doi.org/10.1016/j.buildenv.2022.108956</v>
      </c>
      <c r="Q44" s="5" t="s">
        <v>505</v>
      </c>
      <c r="R44" s="16" t="s">
        <v>506</v>
      </c>
      <c r="S44" s="5" t="s">
        <v>507</v>
      </c>
      <c r="T44" s="5" t="s">
        <v>508</v>
      </c>
      <c r="U44" s="5" t="s">
        <v>509</v>
      </c>
      <c r="V44" s="5" t="s">
        <v>510</v>
      </c>
      <c r="W44" s="5" t="s">
        <v>38</v>
      </c>
      <c r="X44" s="3" t="s">
        <v>511</v>
      </c>
      <c r="Y44" s="3" t="s">
        <v>40</v>
      </c>
      <c r="Z44" s="2"/>
    </row>
    <row r="45" spans="1:26" ht="19.5" customHeight="1">
      <c r="A45" s="9" t="s">
        <v>512</v>
      </c>
      <c r="B45" s="17" t="s">
        <v>513</v>
      </c>
      <c r="C45" s="17" t="s">
        <v>514</v>
      </c>
      <c r="D45" s="14" t="s">
        <v>28</v>
      </c>
      <c r="E45" s="14" t="s">
        <v>28</v>
      </c>
      <c r="F45" s="18">
        <v>2009</v>
      </c>
      <c r="G45" s="19" t="s">
        <v>80</v>
      </c>
      <c r="H45" s="18"/>
      <c r="I45" s="18">
        <v>135</v>
      </c>
      <c r="J45" s="18"/>
      <c r="K45" s="18">
        <v>1</v>
      </c>
      <c r="L45" s="18">
        <v>116</v>
      </c>
      <c r="M45" s="18">
        <v>115</v>
      </c>
      <c r="N45" s="18">
        <v>14</v>
      </c>
      <c r="O45" s="18"/>
      <c r="P45" s="38" t="s">
        <v>515</v>
      </c>
      <c r="Q45" s="17" t="s">
        <v>516</v>
      </c>
      <c r="R45" s="20" t="s">
        <v>517</v>
      </c>
      <c r="S45" s="17" t="s">
        <v>518</v>
      </c>
      <c r="T45" s="18"/>
      <c r="U45" s="5"/>
      <c r="V45" s="19" t="s">
        <v>86</v>
      </c>
      <c r="W45" s="17" t="s">
        <v>38</v>
      </c>
      <c r="X45" s="4" t="s">
        <v>87</v>
      </c>
      <c r="Y45" s="4" t="s">
        <v>40</v>
      </c>
      <c r="Z45" s="2"/>
    </row>
    <row r="46" spans="1:26" ht="19.5" customHeight="1">
      <c r="A46" s="5" t="s">
        <v>519</v>
      </c>
      <c r="B46" s="5" t="s">
        <v>520</v>
      </c>
      <c r="C46" s="5" t="s">
        <v>521</v>
      </c>
      <c r="D46" s="14" t="s">
        <v>28</v>
      </c>
      <c r="E46" s="14" t="s">
        <v>28</v>
      </c>
      <c r="F46" s="5">
        <v>2008</v>
      </c>
      <c r="G46" s="5" t="s">
        <v>522</v>
      </c>
      <c r="H46" s="5">
        <v>24</v>
      </c>
      <c r="I46" s="5">
        <v>1</v>
      </c>
      <c r="J46" s="5" t="s">
        <v>30</v>
      </c>
      <c r="K46" s="5">
        <v>1</v>
      </c>
      <c r="L46" s="5">
        <v>33</v>
      </c>
      <c r="M46" s="5">
        <v>33</v>
      </c>
      <c r="N46" s="5">
        <v>157</v>
      </c>
      <c r="O46" s="5" t="s">
        <v>523</v>
      </c>
      <c r="P46" s="15" t="str">
        <f>HYPERLINK("http://dx.doi.org/10.1093/oxrep/grn011","http://dx.doi.org/10.1093/oxrep/grn011")</f>
        <v>http://dx.doi.org/10.1093/oxrep/grn011</v>
      </c>
      <c r="Q46" s="5" t="s">
        <v>524</v>
      </c>
      <c r="R46" s="16" t="s">
        <v>525</v>
      </c>
      <c r="S46" s="5" t="s">
        <v>526</v>
      </c>
      <c r="T46" s="5" t="s">
        <v>527</v>
      </c>
      <c r="U46" s="5" t="s">
        <v>528</v>
      </c>
      <c r="V46" s="5" t="s">
        <v>529</v>
      </c>
      <c r="W46" s="5" t="s">
        <v>38</v>
      </c>
      <c r="X46" s="3" t="s">
        <v>530</v>
      </c>
      <c r="Y46" s="3" t="s">
        <v>170</v>
      </c>
      <c r="Z46" s="2"/>
    </row>
    <row r="47" spans="1:26" ht="19.5" customHeight="1">
      <c r="A47" s="9" t="s">
        <v>531</v>
      </c>
      <c r="B47" s="17" t="s">
        <v>532</v>
      </c>
      <c r="C47" s="17" t="s">
        <v>533</v>
      </c>
      <c r="D47" s="14" t="s">
        <v>28</v>
      </c>
      <c r="E47" s="14" t="s">
        <v>28</v>
      </c>
      <c r="F47" s="18">
        <v>2022</v>
      </c>
      <c r="G47" s="19" t="s">
        <v>534</v>
      </c>
      <c r="H47" s="18">
        <v>9</v>
      </c>
      <c r="I47" s="18">
        <v>2</v>
      </c>
      <c r="J47" s="18"/>
      <c r="K47" s="18">
        <v>18</v>
      </c>
      <c r="L47" s="18">
        <v>29</v>
      </c>
      <c r="M47" s="18">
        <v>11</v>
      </c>
      <c r="N47" s="18">
        <v>1</v>
      </c>
      <c r="O47" s="17" t="s">
        <v>535</v>
      </c>
      <c r="P47" s="38" t="s">
        <v>536</v>
      </c>
      <c r="Q47" s="17" t="s">
        <v>537</v>
      </c>
      <c r="R47" s="20" t="s">
        <v>538</v>
      </c>
      <c r="S47" s="17" t="s">
        <v>539</v>
      </c>
      <c r="T47" s="17" t="s">
        <v>540</v>
      </c>
      <c r="U47" s="5"/>
      <c r="V47" s="19" t="s">
        <v>541</v>
      </c>
      <c r="W47" s="17" t="s">
        <v>38</v>
      </c>
      <c r="X47" s="4" t="s">
        <v>542</v>
      </c>
      <c r="Y47" s="4" t="s">
        <v>40</v>
      </c>
      <c r="Z47" s="2"/>
    </row>
    <row r="48" spans="1:26" ht="19.5" customHeight="1">
      <c r="A48" s="5" t="s">
        <v>543</v>
      </c>
      <c r="B48" s="5" t="s">
        <v>544</v>
      </c>
      <c r="C48" s="5" t="s">
        <v>545</v>
      </c>
      <c r="D48" s="14" t="s">
        <v>70</v>
      </c>
      <c r="E48" s="21" t="s">
        <v>70</v>
      </c>
      <c r="F48" s="5">
        <v>2020</v>
      </c>
      <c r="G48" s="5" t="s">
        <v>546</v>
      </c>
      <c r="H48" s="5">
        <v>64</v>
      </c>
      <c r="I48" s="5">
        <v>4</v>
      </c>
      <c r="J48" s="5" t="s">
        <v>30</v>
      </c>
      <c r="K48" s="5">
        <v>438</v>
      </c>
      <c r="L48" s="5">
        <v>466</v>
      </c>
      <c r="M48" s="5">
        <v>29</v>
      </c>
      <c r="N48" s="5">
        <v>3</v>
      </c>
      <c r="O48" s="5" t="s">
        <v>547</v>
      </c>
      <c r="P48" s="15" t="str">
        <f>HYPERLINK("http://dx.doi.org/10.1111/cag.12663","http://dx.doi.org/10.1111/cag.12663")</f>
        <v>http://dx.doi.org/10.1111/cag.12663</v>
      </c>
      <c r="Q48" s="5" t="s">
        <v>548</v>
      </c>
      <c r="R48" s="16" t="s">
        <v>549</v>
      </c>
      <c r="S48" s="5" t="s">
        <v>550</v>
      </c>
      <c r="T48" s="5" t="s">
        <v>551</v>
      </c>
      <c r="U48" s="5" t="s">
        <v>552</v>
      </c>
      <c r="V48" s="5" t="s">
        <v>553</v>
      </c>
      <c r="W48" s="5" t="s">
        <v>38</v>
      </c>
      <c r="X48" s="3" t="s">
        <v>554</v>
      </c>
      <c r="Y48" s="3" t="s">
        <v>40</v>
      </c>
      <c r="Z48" s="2"/>
    </row>
    <row r="49" spans="1:26" ht="19.5" customHeight="1">
      <c r="A49" s="9" t="s">
        <v>555</v>
      </c>
      <c r="B49" s="17" t="s">
        <v>556</v>
      </c>
      <c r="C49" s="17" t="s">
        <v>557</v>
      </c>
      <c r="D49" s="14" t="s">
        <v>28</v>
      </c>
      <c r="E49" s="14" t="s">
        <v>28</v>
      </c>
      <c r="F49" s="18">
        <v>2018</v>
      </c>
      <c r="G49" s="19" t="s">
        <v>558</v>
      </c>
      <c r="H49" s="18">
        <v>35</v>
      </c>
      <c r="I49" s="18">
        <v>3</v>
      </c>
      <c r="J49" s="18"/>
      <c r="K49" s="18">
        <v>353</v>
      </c>
      <c r="L49" s="18">
        <v>377</v>
      </c>
      <c r="M49" s="18">
        <v>24</v>
      </c>
      <c r="N49" s="18">
        <v>15</v>
      </c>
      <c r="O49" s="17" t="s">
        <v>559</v>
      </c>
      <c r="P49" s="38" t="s">
        <v>560</v>
      </c>
      <c r="Q49" s="17" t="s">
        <v>561</v>
      </c>
      <c r="R49" s="20" t="s">
        <v>562</v>
      </c>
      <c r="S49" s="17" t="s">
        <v>563</v>
      </c>
      <c r="T49" s="17" t="s">
        <v>564</v>
      </c>
      <c r="U49" s="5" t="s">
        <v>565</v>
      </c>
      <c r="V49" s="19" t="s">
        <v>135</v>
      </c>
      <c r="W49" s="17" t="s">
        <v>38</v>
      </c>
      <c r="X49" s="4" t="s">
        <v>566</v>
      </c>
      <c r="Y49" s="4" t="s">
        <v>40</v>
      </c>
      <c r="Z49" s="2"/>
    </row>
    <row r="50" spans="1:26" ht="19.5" customHeight="1">
      <c r="A50" s="9" t="s">
        <v>567</v>
      </c>
      <c r="B50" s="17" t="s">
        <v>568</v>
      </c>
      <c r="C50" s="17" t="s">
        <v>569</v>
      </c>
      <c r="D50" s="14" t="s">
        <v>28</v>
      </c>
      <c r="E50" s="14" t="s">
        <v>28</v>
      </c>
      <c r="F50" s="18">
        <v>2024</v>
      </c>
      <c r="G50" s="19" t="s">
        <v>570</v>
      </c>
      <c r="H50" s="18"/>
      <c r="I50" s="18"/>
      <c r="J50" s="18"/>
      <c r="K50" s="18"/>
      <c r="L50" s="18"/>
      <c r="M50" s="18"/>
      <c r="N50" s="18">
        <v>0</v>
      </c>
      <c r="O50" s="17" t="s">
        <v>571</v>
      </c>
      <c r="P50" s="38" t="s">
        <v>572</v>
      </c>
      <c r="Q50" s="17" t="s">
        <v>573</v>
      </c>
      <c r="R50" s="20" t="s">
        <v>574</v>
      </c>
      <c r="S50" s="17" t="s">
        <v>575</v>
      </c>
      <c r="T50" s="17" t="s">
        <v>576</v>
      </c>
      <c r="U50" s="5"/>
      <c r="V50" s="19" t="s">
        <v>279</v>
      </c>
      <c r="W50" s="17" t="s">
        <v>38</v>
      </c>
      <c r="X50" s="4" t="s">
        <v>577</v>
      </c>
      <c r="Y50" s="4" t="s">
        <v>40</v>
      </c>
      <c r="Z50" s="2"/>
    </row>
    <row r="51" spans="1:26" ht="19.5" customHeight="1">
      <c r="A51" s="9" t="s">
        <v>578</v>
      </c>
      <c r="B51" s="17" t="s">
        <v>579</v>
      </c>
      <c r="C51" s="17" t="s">
        <v>580</v>
      </c>
      <c r="D51" s="14" t="s">
        <v>28</v>
      </c>
      <c r="E51" s="14" t="s">
        <v>28</v>
      </c>
      <c r="F51" s="18">
        <v>1990</v>
      </c>
      <c r="G51" s="19" t="s">
        <v>581</v>
      </c>
      <c r="H51" s="18">
        <v>8</v>
      </c>
      <c r="I51" s="18">
        <v>4</v>
      </c>
      <c r="J51" s="18"/>
      <c r="K51" s="18">
        <v>177</v>
      </c>
      <c r="L51" s="18">
        <v>184</v>
      </c>
      <c r="M51" s="18">
        <v>7</v>
      </c>
      <c r="N51" s="18">
        <v>2</v>
      </c>
      <c r="O51" s="17" t="s">
        <v>582</v>
      </c>
      <c r="P51" s="38" t="s">
        <v>583</v>
      </c>
      <c r="Q51" s="18"/>
      <c r="R51" s="23"/>
      <c r="S51" s="17" t="s">
        <v>584</v>
      </c>
      <c r="T51" s="18"/>
      <c r="U51" s="5"/>
      <c r="V51" s="22"/>
      <c r="W51" s="17" t="s">
        <v>38</v>
      </c>
      <c r="X51" s="4" t="s">
        <v>585</v>
      </c>
      <c r="Y51" s="4" t="s">
        <v>40</v>
      </c>
      <c r="Z51" s="2"/>
    </row>
    <row r="52" spans="1:26" ht="19.5" customHeight="1">
      <c r="A52" s="5" t="s">
        <v>586</v>
      </c>
      <c r="B52" s="5" t="s">
        <v>587</v>
      </c>
      <c r="C52" s="5" t="s">
        <v>588</v>
      </c>
      <c r="D52" s="13" t="s">
        <v>195</v>
      </c>
      <c r="E52" s="21" t="s">
        <v>195</v>
      </c>
      <c r="F52" s="5">
        <v>2010</v>
      </c>
      <c r="G52" s="5" t="s">
        <v>115</v>
      </c>
      <c r="H52" s="5">
        <v>25</v>
      </c>
      <c r="I52" s="5">
        <v>1</v>
      </c>
      <c r="J52" s="5" t="s">
        <v>589</v>
      </c>
      <c r="K52" s="5">
        <v>63</v>
      </c>
      <c r="L52" s="5">
        <v>82</v>
      </c>
      <c r="M52" s="5">
        <v>20</v>
      </c>
      <c r="N52" s="5">
        <v>12</v>
      </c>
      <c r="O52" s="5" t="s">
        <v>590</v>
      </c>
      <c r="P52" s="15" t="str">
        <f>HYPERLINK("http://dx.doi.org/10.1080/02673030903362035","http://dx.doi.org/10.1080/02673030903362035")</f>
        <v>http://dx.doi.org/10.1080/02673030903362035</v>
      </c>
      <c r="Q52" s="5" t="s">
        <v>591</v>
      </c>
      <c r="R52" s="16" t="s">
        <v>592</v>
      </c>
      <c r="S52" s="5" t="s">
        <v>593</v>
      </c>
      <c r="T52" s="5" t="s">
        <v>594</v>
      </c>
      <c r="U52" s="5" t="s">
        <v>595</v>
      </c>
      <c r="V52" s="5" t="s">
        <v>122</v>
      </c>
      <c r="W52" s="5" t="s">
        <v>38</v>
      </c>
      <c r="X52" s="3" t="s">
        <v>123</v>
      </c>
      <c r="Y52" s="3" t="s">
        <v>40</v>
      </c>
      <c r="Z52" s="2"/>
    </row>
    <row r="53" spans="1:26" ht="19.5" customHeight="1">
      <c r="A53" s="9" t="s">
        <v>596</v>
      </c>
      <c r="B53" s="17" t="s">
        <v>597</v>
      </c>
      <c r="C53" s="17" t="s">
        <v>598</v>
      </c>
      <c r="D53" s="14" t="s">
        <v>28</v>
      </c>
      <c r="E53" s="14" t="s">
        <v>28</v>
      </c>
      <c r="F53" s="18">
        <v>2009</v>
      </c>
      <c r="G53" s="19" t="s">
        <v>80</v>
      </c>
      <c r="H53" s="18"/>
      <c r="I53" s="18">
        <v>134</v>
      </c>
      <c r="J53" s="18"/>
      <c r="K53" s="18">
        <v>1</v>
      </c>
      <c r="L53" s="18">
        <v>197</v>
      </c>
      <c r="M53" s="18">
        <v>196</v>
      </c>
      <c r="N53" s="18">
        <v>16</v>
      </c>
      <c r="O53" s="18"/>
      <c r="P53" s="38" t="s">
        <v>599</v>
      </c>
      <c r="Q53" s="17" t="s">
        <v>600</v>
      </c>
      <c r="R53" s="20" t="s">
        <v>601</v>
      </c>
      <c r="S53" s="17" t="s">
        <v>602</v>
      </c>
      <c r="T53" s="18"/>
      <c r="U53" s="5"/>
      <c r="V53" s="19" t="s">
        <v>86</v>
      </c>
      <c r="W53" s="17" t="s">
        <v>38</v>
      </c>
      <c r="X53" s="4" t="s">
        <v>87</v>
      </c>
      <c r="Y53" s="4" t="s">
        <v>40</v>
      </c>
      <c r="Z53" s="2"/>
    </row>
    <row r="54" spans="1:26" ht="19.5" customHeight="1">
      <c r="A54" s="9" t="s">
        <v>603</v>
      </c>
      <c r="B54" s="17" t="s">
        <v>604</v>
      </c>
      <c r="C54" s="17" t="s">
        <v>605</v>
      </c>
      <c r="D54" s="14" t="s">
        <v>28</v>
      </c>
      <c r="E54" s="14" t="s">
        <v>28</v>
      </c>
      <c r="F54" s="18">
        <v>2018</v>
      </c>
      <c r="G54" s="19" t="s">
        <v>606</v>
      </c>
      <c r="H54" s="18">
        <v>55</v>
      </c>
      <c r="I54" s="17" t="s">
        <v>607</v>
      </c>
      <c r="J54" s="18"/>
      <c r="K54" s="18">
        <v>174</v>
      </c>
      <c r="L54" s="18">
        <v>185</v>
      </c>
      <c r="M54" s="18">
        <v>11</v>
      </c>
      <c r="N54" s="18">
        <v>7</v>
      </c>
      <c r="O54" s="17" t="s">
        <v>608</v>
      </c>
      <c r="P54" s="38" t="s">
        <v>609</v>
      </c>
      <c r="Q54" s="17" t="s">
        <v>610</v>
      </c>
      <c r="R54" s="20" t="s">
        <v>611</v>
      </c>
      <c r="S54" s="17" t="s">
        <v>612</v>
      </c>
      <c r="T54" s="17" t="s">
        <v>613</v>
      </c>
      <c r="U54" s="5"/>
      <c r="V54" s="19" t="s">
        <v>135</v>
      </c>
      <c r="W54" s="17" t="s">
        <v>38</v>
      </c>
      <c r="X54" s="4" t="s">
        <v>614</v>
      </c>
      <c r="Y54" s="4" t="s">
        <v>40</v>
      </c>
      <c r="Z54" s="2"/>
    </row>
    <row r="55" spans="1:26" ht="19.5" customHeight="1">
      <c r="A55" s="9" t="s">
        <v>615</v>
      </c>
      <c r="B55" s="17" t="s">
        <v>616</v>
      </c>
      <c r="C55" s="17" t="s">
        <v>617</v>
      </c>
      <c r="D55" s="14" t="s">
        <v>28</v>
      </c>
      <c r="E55" s="14" t="s">
        <v>28</v>
      </c>
      <c r="F55" s="18">
        <v>2018</v>
      </c>
      <c r="G55" s="19" t="s">
        <v>80</v>
      </c>
      <c r="H55" s="18"/>
      <c r="I55" s="18">
        <v>300</v>
      </c>
      <c r="J55" s="18"/>
      <c r="K55" s="18">
        <v>1</v>
      </c>
      <c r="L55" s="18">
        <v>59</v>
      </c>
      <c r="M55" s="18">
        <v>58</v>
      </c>
      <c r="N55" s="18">
        <v>11</v>
      </c>
      <c r="O55" s="17" t="s">
        <v>618</v>
      </c>
      <c r="P55" s="38" t="s">
        <v>619</v>
      </c>
      <c r="Q55" s="17" t="s">
        <v>620</v>
      </c>
      <c r="R55" s="20" t="s">
        <v>621</v>
      </c>
      <c r="S55" s="17" t="s">
        <v>622</v>
      </c>
      <c r="T55" s="17" t="s">
        <v>623</v>
      </c>
      <c r="U55" s="5"/>
      <c r="V55" s="19" t="s">
        <v>86</v>
      </c>
      <c r="W55" s="17" t="s">
        <v>38</v>
      </c>
      <c r="X55" s="4" t="s">
        <v>87</v>
      </c>
      <c r="Y55" s="4" t="s">
        <v>170</v>
      </c>
      <c r="Z55" s="2"/>
    </row>
    <row r="56" spans="1:26" ht="19.5" customHeight="1">
      <c r="A56" s="9" t="s">
        <v>624</v>
      </c>
      <c r="B56" s="17" t="s">
        <v>625</v>
      </c>
      <c r="C56" s="17" t="s">
        <v>626</v>
      </c>
      <c r="D56" s="14" t="s">
        <v>28</v>
      </c>
      <c r="E56" s="14" t="s">
        <v>28</v>
      </c>
      <c r="F56" s="18">
        <v>2020</v>
      </c>
      <c r="G56" s="19" t="s">
        <v>581</v>
      </c>
      <c r="H56" s="18">
        <v>38</v>
      </c>
      <c r="I56" s="18">
        <v>2</v>
      </c>
      <c r="J56" s="18"/>
      <c r="K56" s="18">
        <v>89</v>
      </c>
      <c r="L56" s="18">
        <v>100</v>
      </c>
      <c r="M56" s="18">
        <v>11</v>
      </c>
      <c r="N56" s="18">
        <v>2</v>
      </c>
      <c r="O56" s="17" t="s">
        <v>627</v>
      </c>
      <c r="P56" s="38" t="s">
        <v>628</v>
      </c>
      <c r="Q56" s="17" t="s">
        <v>629</v>
      </c>
      <c r="R56" s="20" t="s">
        <v>630</v>
      </c>
      <c r="S56" s="17" t="s">
        <v>631</v>
      </c>
      <c r="T56" s="17" t="s">
        <v>632</v>
      </c>
      <c r="U56" s="5"/>
      <c r="V56" s="19" t="s">
        <v>135</v>
      </c>
      <c r="W56" s="17" t="s">
        <v>38</v>
      </c>
      <c r="X56" s="4" t="s">
        <v>585</v>
      </c>
      <c r="Y56" s="4" t="s">
        <v>40</v>
      </c>
      <c r="Z56" s="2"/>
    </row>
    <row r="57" spans="1:26" ht="19.5" customHeight="1">
      <c r="A57" s="9" t="s">
        <v>633</v>
      </c>
      <c r="B57" s="17" t="s">
        <v>634</v>
      </c>
      <c r="C57" s="17" t="s">
        <v>635</v>
      </c>
      <c r="D57" s="14" t="s">
        <v>28</v>
      </c>
      <c r="E57" s="10" t="s">
        <v>70</v>
      </c>
      <c r="F57" s="18">
        <v>2018</v>
      </c>
      <c r="G57" s="19" t="s">
        <v>127</v>
      </c>
      <c r="H57" s="18">
        <v>18</v>
      </c>
      <c r="I57" s="18">
        <v>2</v>
      </c>
      <c r="J57" s="18"/>
      <c r="K57" s="18">
        <v>233</v>
      </c>
      <c r="L57" s="18">
        <v>265</v>
      </c>
      <c r="M57" s="18">
        <v>32</v>
      </c>
      <c r="N57" s="18">
        <v>11</v>
      </c>
      <c r="O57" s="17" t="s">
        <v>636</v>
      </c>
      <c r="P57" s="38" t="s">
        <v>637</v>
      </c>
      <c r="Q57" s="17" t="s">
        <v>638</v>
      </c>
      <c r="R57" s="20" t="s">
        <v>639</v>
      </c>
      <c r="S57" s="17" t="s">
        <v>640</v>
      </c>
      <c r="T57" s="17" t="s">
        <v>641</v>
      </c>
      <c r="U57" s="5" t="s">
        <v>642</v>
      </c>
      <c r="V57" s="19" t="s">
        <v>135</v>
      </c>
      <c r="W57" s="17" t="s">
        <v>38</v>
      </c>
      <c r="X57" s="4" t="s">
        <v>136</v>
      </c>
      <c r="Y57" s="4" t="s">
        <v>40</v>
      </c>
      <c r="Z57" s="2"/>
    </row>
    <row r="58" spans="1:26" ht="19.5" customHeight="1">
      <c r="A58" s="9" t="s">
        <v>643</v>
      </c>
      <c r="B58" s="17" t="s">
        <v>644</v>
      </c>
      <c r="C58" s="17" t="s">
        <v>645</v>
      </c>
      <c r="D58" s="14" t="s">
        <v>70</v>
      </c>
      <c r="E58" s="14" t="s">
        <v>28</v>
      </c>
      <c r="F58" s="18">
        <v>2025</v>
      </c>
      <c r="G58" s="19" t="s">
        <v>646</v>
      </c>
      <c r="H58" s="18">
        <v>40</v>
      </c>
      <c r="I58" s="18">
        <v>1</v>
      </c>
      <c r="J58" s="18"/>
      <c r="K58" s="18">
        <v>1</v>
      </c>
      <c r="L58" s="18">
        <v>57</v>
      </c>
      <c r="M58" s="18">
        <v>56</v>
      </c>
      <c r="N58" s="18">
        <v>0</v>
      </c>
      <c r="O58" s="17" t="s">
        <v>647</v>
      </c>
      <c r="P58" s="38" t="s">
        <v>648</v>
      </c>
      <c r="Q58" s="17" t="s">
        <v>649</v>
      </c>
      <c r="R58" s="20" t="s">
        <v>650</v>
      </c>
      <c r="S58" s="17" t="s">
        <v>651</v>
      </c>
      <c r="T58" s="17" t="s">
        <v>652</v>
      </c>
      <c r="U58" s="5" t="s">
        <v>653</v>
      </c>
      <c r="V58" s="19" t="s">
        <v>654</v>
      </c>
      <c r="W58" s="17" t="s">
        <v>38</v>
      </c>
      <c r="X58" s="4" t="s">
        <v>655</v>
      </c>
      <c r="Y58" s="4" t="s">
        <v>40</v>
      </c>
      <c r="Z58" s="2"/>
    </row>
    <row r="59" spans="1:26" ht="19.5" customHeight="1">
      <c r="A59" s="9" t="s">
        <v>656</v>
      </c>
      <c r="B59" s="17" t="s">
        <v>657</v>
      </c>
      <c r="C59" s="17" t="s">
        <v>658</v>
      </c>
      <c r="D59" s="14" t="s">
        <v>28</v>
      </c>
      <c r="E59" s="14" t="s">
        <v>28</v>
      </c>
      <c r="F59" s="18">
        <v>2012</v>
      </c>
      <c r="G59" s="19" t="s">
        <v>115</v>
      </c>
      <c r="H59" s="18">
        <v>27</v>
      </c>
      <c r="I59" s="18">
        <v>4</v>
      </c>
      <c r="J59" s="18"/>
      <c r="K59" s="18">
        <v>476</v>
      </c>
      <c r="L59" s="18">
        <v>494</v>
      </c>
      <c r="M59" s="18">
        <v>18</v>
      </c>
      <c r="N59" s="18">
        <v>47</v>
      </c>
      <c r="O59" s="17" t="s">
        <v>659</v>
      </c>
      <c r="P59" s="38" t="s">
        <v>660</v>
      </c>
      <c r="Q59" s="17" t="s">
        <v>661</v>
      </c>
      <c r="R59" s="20" t="s">
        <v>662</v>
      </c>
      <c r="S59" s="17" t="s">
        <v>663</v>
      </c>
      <c r="T59" s="17" t="s">
        <v>664</v>
      </c>
      <c r="U59" s="5" t="s">
        <v>665</v>
      </c>
      <c r="V59" s="22"/>
      <c r="W59" s="17" t="s">
        <v>38</v>
      </c>
      <c r="X59" s="4" t="s">
        <v>123</v>
      </c>
      <c r="Y59" s="4" t="s">
        <v>40</v>
      </c>
      <c r="Z59" s="2"/>
    </row>
    <row r="60" spans="1:26" ht="19.5" customHeight="1">
      <c r="A60" s="9" t="s">
        <v>666</v>
      </c>
      <c r="B60" s="17" t="s">
        <v>667</v>
      </c>
      <c r="C60" s="17" t="s">
        <v>668</v>
      </c>
      <c r="D60" s="14" t="s">
        <v>28</v>
      </c>
      <c r="E60" s="14" t="s">
        <v>28</v>
      </c>
      <c r="F60" s="18">
        <v>2014</v>
      </c>
      <c r="G60" s="19" t="s">
        <v>534</v>
      </c>
      <c r="H60" s="18">
        <v>1</v>
      </c>
      <c r="I60" s="18">
        <v>1</v>
      </c>
      <c r="J60" s="18"/>
      <c r="K60" s="18">
        <v>17</v>
      </c>
      <c r="L60" s="18">
        <v>25</v>
      </c>
      <c r="M60" s="18">
        <v>8</v>
      </c>
      <c r="N60" s="18">
        <v>1</v>
      </c>
      <c r="O60" s="17" t="s">
        <v>669</v>
      </c>
      <c r="P60" s="38" t="s">
        <v>670</v>
      </c>
      <c r="Q60" s="17" t="s">
        <v>671</v>
      </c>
      <c r="R60" s="20" t="s">
        <v>672</v>
      </c>
      <c r="S60" s="17" t="s">
        <v>673</v>
      </c>
      <c r="T60" s="17" t="s">
        <v>674</v>
      </c>
      <c r="U60" s="5"/>
      <c r="V60" s="19" t="s">
        <v>541</v>
      </c>
      <c r="W60" s="17" t="s">
        <v>38</v>
      </c>
      <c r="X60" s="4" t="s">
        <v>542</v>
      </c>
      <c r="Y60" s="4" t="s">
        <v>40</v>
      </c>
      <c r="Z60" s="2"/>
    </row>
    <row r="61" spans="1:26" ht="19.5" customHeight="1">
      <c r="A61" s="9" t="s">
        <v>675</v>
      </c>
      <c r="B61" s="17" t="s">
        <v>676</v>
      </c>
      <c r="C61" s="17" t="s">
        <v>677</v>
      </c>
      <c r="D61" s="14" t="s">
        <v>28</v>
      </c>
      <c r="E61" s="14" t="s">
        <v>28</v>
      </c>
      <c r="F61" s="18">
        <v>2018</v>
      </c>
      <c r="G61" s="19" t="s">
        <v>80</v>
      </c>
      <c r="H61" s="18"/>
      <c r="I61" s="18">
        <v>307</v>
      </c>
      <c r="J61" s="18"/>
      <c r="K61" s="18">
        <v>1</v>
      </c>
      <c r="L61" s="18">
        <v>103</v>
      </c>
      <c r="M61" s="18">
        <v>102</v>
      </c>
      <c r="N61" s="18">
        <v>12</v>
      </c>
      <c r="O61" s="17" t="s">
        <v>678</v>
      </c>
      <c r="P61" s="38" t="s">
        <v>679</v>
      </c>
      <c r="Q61" s="17" t="s">
        <v>680</v>
      </c>
      <c r="R61" s="20" t="s">
        <v>681</v>
      </c>
      <c r="S61" s="17" t="s">
        <v>682</v>
      </c>
      <c r="T61" s="17" t="s">
        <v>683</v>
      </c>
      <c r="U61" s="5"/>
      <c r="V61" s="19" t="s">
        <v>86</v>
      </c>
      <c r="W61" s="17" t="s">
        <v>38</v>
      </c>
      <c r="X61" s="4" t="s">
        <v>87</v>
      </c>
      <c r="Y61" s="4" t="s">
        <v>170</v>
      </c>
      <c r="Z61" s="2"/>
    </row>
    <row r="62" spans="1:26" ht="19.5" customHeight="1">
      <c r="A62" s="9" t="s">
        <v>684</v>
      </c>
      <c r="B62" s="17" t="s">
        <v>685</v>
      </c>
      <c r="C62" s="17" t="s">
        <v>686</v>
      </c>
      <c r="D62" s="14" t="s">
        <v>28</v>
      </c>
      <c r="E62" s="14" t="s">
        <v>28</v>
      </c>
      <c r="F62" s="18">
        <v>2023</v>
      </c>
      <c r="G62" s="19" t="s">
        <v>687</v>
      </c>
      <c r="H62" s="18">
        <v>103</v>
      </c>
      <c r="I62" s="18"/>
      <c r="J62" s="18">
        <v>103948</v>
      </c>
      <c r="K62" s="18"/>
      <c r="L62" s="18"/>
      <c r="M62" s="18"/>
      <c r="N62" s="18">
        <v>4</v>
      </c>
      <c r="O62" s="17" t="s">
        <v>688</v>
      </c>
      <c r="P62" s="38" t="s">
        <v>689</v>
      </c>
      <c r="Q62" s="17" t="s">
        <v>690</v>
      </c>
      <c r="R62" s="20" t="s">
        <v>691</v>
      </c>
      <c r="S62" s="17" t="s">
        <v>692</v>
      </c>
      <c r="T62" s="17" t="s">
        <v>693</v>
      </c>
      <c r="U62" s="5" t="s">
        <v>694</v>
      </c>
      <c r="V62" s="19" t="s">
        <v>695</v>
      </c>
      <c r="W62" s="17" t="s">
        <v>38</v>
      </c>
      <c r="X62" s="4" t="s">
        <v>696</v>
      </c>
      <c r="Y62" s="4" t="s">
        <v>40</v>
      </c>
      <c r="Z62" s="2"/>
    </row>
    <row r="63" spans="1:26" ht="19.5" customHeight="1">
      <c r="A63" s="9" t="s">
        <v>697</v>
      </c>
      <c r="B63" s="17" t="s">
        <v>698</v>
      </c>
      <c r="C63" s="17" t="s">
        <v>699</v>
      </c>
      <c r="D63" s="14" t="s">
        <v>70</v>
      </c>
      <c r="E63" s="10" t="s">
        <v>70</v>
      </c>
      <c r="F63" s="18">
        <v>2010</v>
      </c>
      <c r="G63" s="19" t="s">
        <v>700</v>
      </c>
      <c r="H63" s="18"/>
      <c r="I63" s="18"/>
      <c r="J63" s="18"/>
      <c r="K63" s="18"/>
      <c r="L63" s="18"/>
      <c r="M63" s="18">
        <v>21</v>
      </c>
      <c r="N63" s="18">
        <v>0</v>
      </c>
      <c r="O63" s="18"/>
      <c r="P63" s="38" t="s">
        <v>701</v>
      </c>
      <c r="Q63" s="17" t="s">
        <v>702</v>
      </c>
      <c r="R63" s="20" t="s">
        <v>703</v>
      </c>
      <c r="S63" s="17" t="s">
        <v>704</v>
      </c>
      <c r="T63" s="18"/>
      <c r="U63" s="5" t="s">
        <v>705</v>
      </c>
      <c r="V63" s="22"/>
      <c r="W63" s="17" t="s">
        <v>38</v>
      </c>
      <c r="X63" s="4" t="s">
        <v>706</v>
      </c>
      <c r="Y63" s="4" t="s">
        <v>111</v>
      </c>
      <c r="Z63" s="2"/>
    </row>
    <row r="64" spans="1:26" ht="19.5" customHeight="1">
      <c r="A64" s="9" t="s">
        <v>707</v>
      </c>
      <c r="B64" s="17" t="s">
        <v>708</v>
      </c>
      <c r="C64" s="17" t="s">
        <v>709</v>
      </c>
      <c r="D64" s="14" t="s">
        <v>28</v>
      </c>
      <c r="E64" s="14" t="s">
        <v>28</v>
      </c>
      <c r="F64" s="18">
        <v>2020</v>
      </c>
      <c r="G64" s="19" t="s">
        <v>710</v>
      </c>
      <c r="H64" s="18">
        <v>12</v>
      </c>
      <c r="I64" s="18">
        <v>2</v>
      </c>
      <c r="J64" s="18">
        <v>683</v>
      </c>
      <c r="K64" s="18"/>
      <c r="L64" s="18"/>
      <c r="M64" s="18"/>
      <c r="N64" s="18">
        <v>19</v>
      </c>
      <c r="O64" s="17" t="s">
        <v>711</v>
      </c>
      <c r="P64" s="38" t="s">
        <v>712</v>
      </c>
      <c r="Q64" s="17" t="s">
        <v>713</v>
      </c>
      <c r="R64" s="20" t="s">
        <v>714</v>
      </c>
      <c r="S64" s="17" t="s">
        <v>715</v>
      </c>
      <c r="T64" s="17" t="s">
        <v>716</v>
      </c>
      <c r="U64" s="5" t="s">
        <v>717</v>
      </c>
      <c r="V64" s="19" t="s">
        <v>718</v>
      </c>
      <c r="W64" s="17" t="s">
        <v>38</v>
      </c>
      <c r="X64" s="4" t="s">
        <v>719</v>
      </c>
      <c r="Y64" s="4" t="s">
        <v>40</v>
      </c>
      <c r="Z64" s="2"/>
    </row>
    <row r="65" spans="1:26" ht="22.5" customHeight="1">
      <c r="A65" s="9" t="s">
        <v>720</v>
      </c>
      <c r="B65" s="17" t="s">
        <v>721</v>
      </c>
      <c r="C65" s="17" t="s">
        <v>722</v>
      </c>
      <c r="D65" s="24" t="s">
        <v>723</v>
      </c>
      <c r="E65" s="10" t="s">
        <v>723</v>
      </c>
      <c r="F65" s="18">
        <v>2024</v>
      </c>
      <c r="G65" s="19" t="s">
        <v>724</v>
      </c>
      <c r="H65" s="18"/>
      <c r="I65" s="18"/>
      <c r="J65" s="18"/>
      <c r="K65" s="18"/>
      <c r="L65" s="18"/>
      <c r="M65" s="18"/>
      <c r="N65" s="18">
        <v>2</v>
      </c>
      <c r="O65" s="17" t="s">
        <v>725</v>
      </c>
      <c r="P65" s="38" t="s">
        <v>726</v>
      </c>
      <c r="Q65" s="17" t="s">
        <v>727</v>
      </c>
      <c r="R65" s="17" t="s">
        <v>728</v>
      </c>
      <c r="S65" s="17" t="s">
        <v>729</v>
      </c>
      <c r="T65" s="17" t="s">
        <v>730</v>
      </c>
      <c r="U65" s="5" t="s">
        <v>731</v>
      </c>
      <c r="V65" s="19" t="s">
        <v>279</v>
      </c>
      <c r="W65" s="17" t="s">
        <v>38</v>
      </c>
      <c r="X65" s="4" t="s">
        <v>732</v>
      </c>
      <c r="Y65" s="4" t="s">
        <v>40</v>
      </c>
      <c r="Z65" s="2"/>
    </row>
    <row r="66" spans="1:26" ht="19.5" customHeight="1">
      <c r="A66" s="9" t="s">
        <v>733</v>
      </c>
      <c r="B66" s="17" t="s">
        <v>734</v>
      </c>
      <c r="C66" s="17" t="s">
        <v>735</v>
      </c>
      <c r="D66" s="14" t="s">
        <v>28</v>
      </c>
      <c r="E66" s="14" t="s">
        <v>28</v>
      </c>
      <c r="F66" s="18">
        <v>2019</v>
      </c>
      <c r="G66" s="19" t="s">
        <v>80</v>
      </c>
      <c r="H66" s="18"/>
      <c r="I66" s="18">
        <v>317</v>
      </c>
      <c r="J66" s="18"/>
      <c r="K66" s="18">
        <v>1</v>
      </c>
      <c r="L66" s="18">
        <v>116</v>
      </c>
      <c r="M66" s="18">
        <v>115</v>
      </c>
      <c r="N66" s="18">
        <v>19</v>
      </c>
      <c r="O66" s="17" t="s">
        <v>736</v>
      </c>
      <c r="P66" s="38" t="s">
        <v>737</v>
      </c>
      <c r="Q66" s="17" t="s">
        <v>738</v>
      </c>
      <c r="R66" s="17" t="s">
        <v>739</v>
      </c>
      <c r="S66" s="17" t="s">
        <v>740</v>
      </c>
      <c r="T66" s="17" t="s">
        <v>741</v>
      </c>
      <c r="U66" s="5"/>
      <c r="V66" s="19" t="s">
        <v>86</v>
      </c>
      <c r="W66" s="17" t="s">
        <v>38</v>
      </c>
      <c r="X66" s="4" t="s">
        <v>87</v>
      </c>
      <c r="Y66" s="4" t="s">
        <v>170</v>
      </c>
      <c r="Z66" s="2"/>
    </row>
    <row r="67" spans="1:26" ht="19.5" customHeight="1">
      <c r="A67" s="9" t="s">
        <v>742</v>
      </c>
      <c r="B67" s="17" t="s">
        <v>743</v>
      </c>
      <c r="C67" s="17" t="s">
        <v>744</v>
      </c>
      <c r="D67" s="14" t="s">
        <v>28</v>
      </c>
      <c r="E67" s="10" t="s">
        <v>723</v>
      </c>
      <c r="F67" s="18">
        <v>2007</v>
      </c>
      <c r="G67" s="19" t="s">
        <v>745</v>
      </c>
      <c r="H67" s="18">
        <v>102</v>
      </c>
      <c r="I67" s="18"/>
      <c r="J67" s="18"/>
      <c r="K67" s="18">
        <v>581</v>
      </c>
      <c r="L67" s="18">
        <v>590</v>
      </c>
      <c r="M67" s="18">
        <v>9</v>
      </c>
      <c r="N67" s="18">
        <v>1</v>
      </c>
      <c r="O67" s="17" t="s">
        <v>746</v>
      </c>
      <c r="P67" s="38" t="s">
        <v>747</v>
      </c>
      <c r="Q67" s="17" t="s">
        <v>748</v>
      </c>
      <c r="R67" s="17" t="s">
        <v>749</v>
      </c>
      <c r="S67" s="17" t="s">
        <v>750</v>
      </c>
      <c r="T67" s="17" t="s">
        <v>751</v>
      </c>
      <c r="U67" s="5" t="s">
        <v>752</v>
      </c>
      <c r="V67" s="19" t="s">
        <v>753</v>
      </c>
      <c r="W67" s="17" t="s">
        <v>38</v>
      </c>
      <c r="X67" s="4" t="s">
        <v>754</v>
      </c>
      <c r="Y67" s="4" t="s">
        <v>40</v>
      </c>
      <c r="Z67" s="2"/>
    </row>
    <row r="68" spans="1:26" ht="19.5" customHeight="1">
      <c r="A68" s="9" t="s">
        <v>755</v>
      </c>
      <c r="B68" s="17" t="s">
        <v>756</v>
      </c>
      <c r="C68" s="17" t="s">
        <v>757</v>
      </c>
      <c r="D68" s="14" t="s">
        <v>28</v>
      </c>
      <c r="E68" s="14" t="s">
        <v>28</v>
      </c>
      <c r="F68" s="18">
        <v>2011</v>
      </c>
      <c r="G68" s="19" t="s">
        <v>80</v>
      </c>
      <c r="H68" s="18"/>
      <c r="I68" s="18">
        <v>163</v>
      </c>
      <c r="J68" s="18"/>
      <c r="K68" s="18">
        <v>1</v>
      </c>
      <c r="L68" s="18">
        <v>101</v>
      </c>
      <c r="M68" s="18">
        <v>100</v>
      </c>
      <c r="N68" s="18">
        <v>1</v>
      </c>
      <c r="O68" s="18"/>
      <c r="P68" s="38" t="s">
        <v>758</v>
      </c>
      <c r="Q68" s="17" t="s">
        <v>759</v>
      </c>
      <c r="R68" s="17" t="s">
        <v>760</v>
      </c>
      <c r="S68" s="17" t="s">
        <v>761</v>
      </c>
      <c r="T68" s="17" t="s">
        <v>762</v>
      </c>
      <c r="U68" s="5"/>
      <c r="V68" s="19" t="s">
        <v>86</v>
      </c>
      <c r="W68" s="17" t="s">
        <v>38</v>
      </c>
      <c r="X68" s="4" t="s">
        <v>87</v>
      </c>
      <c r="Y68" s="4" t="s">
        <v>170</v>
      </c>
      <c r="Z68" s="2"/>
    </row>
    <row r="69" spans="1:26" ht="19.5" customHeight="1">
      <c r="A69" s="5" t="s">
        <v>763</v>
      </c>
      <c r="B69" s="5" t="s">
        <v>764</v>
      </c>
      <c r="C69" s="5" t="s">
        <v>765</v>
      </c>
      <c r="D69" s="14" t="s">
        <v>195</v>
      </c>
      <c r="E69" s="21" t="s">
        <v>195</v>
      </c>
      <c r="F69" s="5">
        <v>2023</v>
      </c>
      <c r="G69" s="5" t="s">
        <v>766</v>
      </c>
      <c r="H69" s="5">
        <v>173</v>
      </c>
      <c r="I69" s="5" t="s">
        <v>30</v>
      </c>
      <c r="J69" s="5">
        <v>100740</v>
      </c>
      <c r="K69" s="5" t="s">
        <v>30</v>
      </c>
      <c r="L69" s="5" t="s">
        <v>30</v>
      </c>
      <c r="M69" s="5">
        <v>37</v>
      </c>
      <c r="N69" s="5">
        <v>62</v>
      </c>
      <c r="O69" s="5" t="s">
        <v>767</v>
      </c>
      <c r="P69" s="15" t="str">
        <f>HYPERLINK("http://dx.doi.org/10.1016/j.progress.2023.100740","http://dx.doi.org/10.1016/j.progress.2023.100740")</f>
        <v>http://dx.doi.org/10.1016/j.progress.2023.100740</v>
      </c>
      <c r="Q69" s="5" t="s">
        <v>768</v>
      </c>
      <c r="R69" s="25" t="s">
        <v>769</v>
      </c>
      <c r="S69" s="5" t="s">
        <v>770</v>
      </c>
      <c r="T69" s="5" t="s">
        <v>771</v>
      </c>
      <c r="U69" s="5" t="s">
        <v>772</v>
      </c>
      <c r="V69" s="5" t="s">
        <v>510</v>
      </c>
      <c r="W69" s="5" t="s">
        <v>38</v>
      </c>
      <c r="X69" s="3" t="s">
        <v>773</v>
      </c>
      <c r="Y69" s="3" t="s">
        <v>170</v>
      </c>
      <c r="Z69" s="2"/>
    </row>
    <row r="70" spans="1:26" ht="19.5" customHeight="1">
      <c r="A70" s="9" t="s">
        <v>774</v>
      </c>
      <c r="B70" s="17" t="s">
        <v>775</v>
      </c>
      <c r="C70" s="17" t="s">
        <v>776</v>
      </c>
      <c r="D70" s="14" t="s">
        <v>28</v>
      </c>
      <c r="E70" s="14" t="s">
        <v>28</v>
      </c>
      <c r="F70" s="18">
        <v>2021</v>
      </c>
      <c r="G70" s="19" t="s">
        <v>384</v>
      </c>
      <c r="H70" s="18">
        <v>9</v>
      </c>
      <c r="I70" s="18">
        <v>2</v>
      </c>
      <c r="J70" s="18"/>
      <c r="K70" s="18">
        <v>41</v>
      </c>
      <c r="L70" s="18">
        <v>61</v>
      </c>
      <c r="M70" s="18">
        <v>20</v>
      </c>
      <c r="N70" s="18">
        <v>7</v>
      </c>
      <c r="O70" s="17" t="s">
        <v>777</v>
      </c>
      <c r="P70" s="38" t="s">
        <v>778</v>
      </c>
      <c r="Q70" s="17" t="s">
        <v>779</v>
      </c>
      <c r="R70" s="17" t="s">
        <v>780</v>
      </c>
      <c r="S70" s="17" t="s">
        <v>781</v>
      </c>
      <c r="T70" s="17" t="s">
        <v>782</v>
      </c>
      <c r="U70" s="5" t="s">
        <v>783</v>
      </c>
      <c r="V70" s="19" t="s">
        <v>392</v>
      </c>
      <c r="W70" s="17" t="s">
        <v>38</v>
      </c>
      <c r="X70" s="4" t="s">
        <v>393</v>
      </c>
      <c r="Y70" s="4" t="s">
        <v>40</v>
      </c>
      <c r="Z70" s="2"/>
    </row>
    <row r="71" spans="1:26" ht="19.5" customHeight="1">
      <c r="A71" s="5" t="s">
        <v>784</v>
      </c>
      <c r="B71" s="5" t="s">
        <v>785</v>
      </c>
      <c r="C71" s="5" t="s">
        <v>786</v>
      </c>
      <c r="D71" s="14" t="s">
        <v>28</v>
      </c>
      <c r="E71" s="14" t="s">
        <v>28</v>
      </c>
      <c r="F71" s="5">
        <v>2019</v>
      </c>
      <c r="G71" s="5" t="s">
        <v>787</v>
      </c>
      <c r="H71" s="5">
        <v>29</v>
      </c>
      <c r="I71" s="5">
        <v>4</v>
      </c>
      <c r="J71" s="5" t="s">
        <v>30</v>
      </c>
      <c r="K71" s="5">
        <v>670</v>
      </c>
      <c r="L71" s="5">
        <v>692</v>
      </c>
      <c r="M71" s="5">
        <v>23</v>
      </c>
      <c r="N71" s="5">
        <v>7</v>
      </c>
      <c r="O71" s="5" t="s">
        <v>788</v>
      </c>
      <c r="P71" s="15" t="str">
        <f>HYPERLINK("http://dx.doi.org/10.1080/10511482.2019.1582548","http://dx.doi.org/10.1080/10511482.2019.1582548")</f>
        <v>http://dx.doi.org/10.1080/10511482.2019.1582548</v>
      </c>
      <c r="Q71" s="5" t="s">
        <v>789</v>
      </c>
      <c r="R71" s="25" t="s">
        <v>790</v>
      </c>
      <c r="S71" s="5" t="s">
        <v>791</v>
      </c>
      <c r="T71" s="5" t="s">
        <v>792</v>
      </c>
      <c r="U71" s="5" t="s">
        <v>793</v>
      </c>
      <c r="V71" s="5" t="s">
        <v>122</v>
      </c>
      <c r="W71" s="5" t="s">
        <v>38</v>
      </c>
      <c r="X71" s="3" t="s">
        <v>794</v>
      </c>
      <c r="Y71" s="3" t="s">
        <v>40</v>
      </c>
      <c r="Z71" s="2"/>
    </row>
    <row r="72" spans="1:26" ht="19.5" customHeight="1">
      <c r="A72" s="9" t="s">
        <v>795</v>
      </c>
      <c r="B72" s="17" t="s">
        <v>796</v>
      </c>
      <c r="C72" s="17" t="s">
        <v>797</v>
      </c>
      <c r="D72" s="14" t="s">
        <v>28</v>
      </c>
      <c r="E72" s="14" t="s">
        <v>28</v>
      </c>
      <c r="F72" s="18">
        <v>2015</v>
      </c>
      <c r="G72" s="19" t="s">
        <v>798</v>
      </c>
      <c r="H72" s="18">
        <v>8</v>
      </c>
      <c r="I72" s="18">
        <v>3</v>
      </c>
      <c r="J72" s="18"/>
      <c r="K72" s="18">
        <v>86</v>
      </c>
      <c r="L72" s="18">
        <v>94</v>
      </c>
      <c r="M72" s="18">
        <v>8</v>
      </c>
      <c r="N72" s="18">
        <v>5</v>
      </c>
      <c r="O72" s="17" t="s">
        <v>799</v>
      </c>
      <c r="P72" s="38" t="s">
        <v>800</v>
      </c>
      <c r="Q72" s="17" t="s">
        <v>801</v>
      </c>
      <c r="R72" s="17" t="s">
        <v>802</v>
      </c>
      <c r="S72" s="17" t="s">
        <v>803</v>
      </c>
      <c r="T72" s="18"/>
      <c r="U72" s="5" t="s">
        <v>804</v>
      </c>
      <c r="V72" s="19" t="s">
        <v>805</v>
      </c>
      <c r="W72" s="17" t="s">
        <v>38</v>
      </c>
      <c r="X72" s="4" t="s">
        <v>806</v>
      </c>
      <c r="Y72" s="4" t="s">
        <v>40</v>
      </c>
      <c r="Z72" s="2"/>
    </row>
    <row r="73" spans="1:26" ht="19.5" customHeight="1">
      <c r="A73" s="5" t="s">
        <v>807</v>
      </c>
      <c r="B73" s="5" t="s">
        <v>808</v>
      </c>
      <c r="C73" s="5" t="s">
        <v>809</v>
      </c>
      <c r="D73" s="13" t="s">
        <v>70</v>
      </c>
      <c r="E73" s="21" t="s">
        <v>70</v>
      </c>
      <c r="F73" s="5">
        <v>2015</v>
      </c>
      <c r="G73" s="5" t="s">
        <v>810</v>
      </c>
      <c r="H73" s="5" t="s">
        <v>30</v>
      </c>
      <c r="I73" s="5" t="s">
        <v>30</v>
      </c>
      <c r="J73" s="5" t="s">
        <v>30</v>
      </c>
      <c r="K73" s="5">
        <v>403</v>
      </c>
      <c r="L73" s="5">
        <v>412</v>
      </c>
      <c r="M73" s="5">
        <v>10</v>
      </c>
      <c r="N73" s="5">
        <v>3</v>
      </c>
      <c r="O73" s="5" t="s">
        <v>30</v>
      </c>
      <c r="P73" s="5" t="s">
        <v>30</v>
      </c>
      <c r="Q73" s="5" t="s">
        <v>811</v>
      </c>
      <c r="R73" s="25" t="s">
        <v>812</v>
      </c>
      <c r="S73" s="5" t="s">
        <v>813</v>
      </c>
      <c r="T73" s="5" t="s">
        <v>814</v>
      </c>
      <c r="U73" s="5" t="s">
        <v>815</v>
      </c>
      <c r="V73" s="5" t="s">
        <v>816</v>
      </c>
      <c r="W73" s="5" t="s">
        <v>38</v>
      </c>
      <c r="X73" s="3" t="s">
        <v>30</v>
      </c>
      <c r="Y73" s="3" t="s">
        <v>76</v>
      </c>
      <c r="Z73" s="2"/>
    </row>
    <row r="74" spans="1:26" ht="19.5" customHeight="1">
      <c r="A74" s="26" t="s">
        <v>817</v>
      </c>
      <c r="B74" s="5" t="s">
        <v>818</v>
      </c>
      <c r="C74" s="5" t="s">
        <v>819</v>
      </c>
      <c r="D74" s="13" t="s">
        <v>820</v>
      </c>
      <c r="E74" s="21" t="s">
        <v>195</v>
      </c>
      <c r="F74" s="5">
        <v>2015</v>
      </c>
      <c r="G74" s="5" t="s">
        <v>821</v>
      </c>
      <c r="H74" s="5">
        <v>51</v>
      </c>
      <c r="I74" s="5" t="s">
        <v>30</v>
      </c>
      <c r="J74" s="5" t="s">
        <v>30</v>
      </c>
      <c r="K74" s="5">
        <v>417</v>
      </c>
      <c r="L74" s="5">
        <v>429</v>
      </c>
      <c r="M74" s="5">
        <v>13</v>
      </c>
      <c r="N74" s="5">
        <v>147</v>
      </c>
      <c r="O74" s="5" t="s">
        <v>822</v>
      </c>
      <c r="P74" s="15" t="str">
        <f>HYPERLINK("http://dx.doi.org/10.1016/j.eneco.2015.08.003","http://dx.doi.org/10.1016/j.eneco.2015.08.003")</f>
        <v>http://dx.doi.org/10.1016/j.eneco.2015.08.003</v>
      </c>
      <c r="Q74" s="5" t="s">
        <v>823</v>
      </c>
      <c r="R74" s="25" t="s">
        <v>824</v>
      </c>
      <c r="S74" s="5" t="s">
        <v>825</v>
      </c>
      <c r="T74" s="5" t="s">
        <v>826</v>
      </c>
      <c r="U74" s="5" t="s">
        <v>827</v>
      </c>
      <c r="V74" s="5" t="s">
        <v>828</v>
      </c>
      <c r="W74" s="5" t="s">
        <v>38</v>
      </c>
      <c r="X74" s="3" t="s">
        <v>829</v>
      </c>
      <c r="Y74" s="3" t="s">
        <v>40</v>
      </c>
      <c r="Z74" s="2"/>
    </row>
    <row r="75" spans="1:26" ht="19.5" customHeight="1">
      <c r="A75" s="9" t="s">
        <v>830</v>
      </c>
      <c r="B75" s="17" t="s">
        <v>831</v>
      </c>
      <c r="C75" s="17" t="s">
        <v>832</v>
      </c>
      <c r="D75" s="14" t="s">
        <v>28</v>
      </c>
      <c r="E75" s="14" t="s">
        <v>28</v>
      </c>
      <c r="F75" s="18">
        <v>2018</v>
      </c>
      <c r="G75" s="19" t="s">
        <v>127</v>
      </c>
      <c r="H75" s="18">
        <v>18</v>
      </c>
      <c r="I75" s="18">
        <v>1</v>
      </c>
      <c r="J75" s="18"/>
      <c r="K75" s="18">
        <v>82</v>
      </c>
      <c r="L75" s="18">
        <v>102</v>
      </c>
      <c r="M75" s="18">
        <v>20</v>
      </c>
      <c r="N75" s="18">
        <v>20</v>
      </c>
      <c r="O75" s="17" t="s">
        <v>833</v>
      </c>
      <c r="P75" s="38" t="s">
        <v>834</v>
      </c>
      <c r="Q75" s="17" t="s">
        <v>835</v>
      </c>
      <c r="R75" s="17" t="s">
        <v>836</v>
      </c>
      <c r="S75" s="17" t="s">
        <v>837</v>
      </c>
      <c r="T75" s="17" t="s">
        <v>838</v>
      </c>
      <c r="U75" s="5" t="s">
        <v>839</v>
      </c>
      <c r="V75" s="19" t="s">
        <v>135</v>
      </c>
      <c r="W75" s="17" t="s">
        <v>38</v>
      </c>
      <c r="X75" s="4" t="s">
        <v>136</v>
      </c>
      <c r="Y75" s="4" t="s">
        <v>40</v>
      </c>
      <c r="Z75" s="2"/>
    </row>
    <row r="76" spans="1:26" ht="19.5" customHeight="1">
      <c r="A76" s="5" t="s">
        <v>840</v>
      </c>
      <c r="B76" s="5" t="s">
        <v>841</v>
      </c>
      <c r="C76" s="5" t="s">
        <v>842</v>
      </c>
      <c r="D76" s="14" t="s">
        <v>195</v>
      </c>
      <c r="E76" s="21" t="s">
        <v>195</v>
      </c>
      <c r="F76" s="5">
        <v>2013</v>
      </c>
      <c r="G76" s="5" t="s">
        <v>843</v>
      </c>
      <c r="H76" s="5">
        <v>79</v>
      </c>
      <c r="I76" s="5">
        <v>1</v>
      </c>
      <c r="J76" s="5" t="s">
        <v>30</v>
      </c>
      <c r="K76" s="5">
        <v>32</v>
      </c>
      <c r="L76" s="5">
        <v>48</v>
      </c>
      <c r="M76" s="5">
        <v>17</v>
      </c>
      <c r="N76" s="5">
        <v>60</v>
      </c>
      <c r="O76" s="5" t="s">
        <v>844</v>
      </c>
      <c r="P76" s="15" t="str">
        <f>HYPERLINK("http://dx.doi.org/10.1080/01944363.2013.790100","http://dx.doi.org/10.1080/01944363.2013.790100")</f>
        <v>http://dx.doi.org/10.1080/01944363.2013.790100</v>
      </c>
      <c r="Q76" s="5" t="s">
        <v>845</v>
      </c>
      <c r="R76" s="25" t="s">
        <v>846</v>
      </c>
      <c r="S76" s="5" t="s">
        <v>847</v>
      </c>
      <c r="T76" s="5" t="s">
        <v>848</v>
      </c>
      <c r="U76" s="5" t="s">
        <v>849</v>
      </c>
      <c r="V76" s="5" t="s">
        <v>122</v>
      </c>
      <c r="W76" s="5" t="s">
        <v>38</v>
      </c>
      <c r="X76" s="3" t="s">
        <v>850</v>
      </c>
      <c r="Y76" s="3" t="s">
        <v>40</v>
      </c>
      <c r="Z76" s="2"/>
    </row>
    <row r="77" spans="1:26" ht="19.5" customHeight="1">
      <c r="A77" s="9" t="s">
        <v>851</v>
      </c>
      <c r="B77" s="17" t="s">
        <v>852</v>
      </c>
      <c r="C77" s="17" t="s">
        <v>853</v>
      </c>
      <c r="D77" s="14" t="s">
        <v>28</v>
      </c>
      <c r="E77" s="14" t="s">
        <v>28</v>
      </c>
      <c r="F77" s="18">
        <v>2003</v>
      </c>
      <c r="G77" s="19" t="s">
        <v>854</v>
      </c>
      <c r="H77" s="18">
        <v>27</v>
      </c>
      <c r="I77" s="18">
        <v>4</v>
      </c>
      <c r="J77" s="18"/>
      <c r="K77" s="18">
        <v>912</v>
      </c>
      <c r="L77" s="18">
        <v>937</v>
      </c>
      <c r="M77" s="18">
        <v>25</v>
      </c>
      <c r="N77" s="18">
        <v>258</v>
      </c>
      <c r="O77" s="17" t="s">
        <v>855</v>
      </c>
      <c r="P77" s="38" t="s">
        <v>856</v>
      </c>
      <c r="Q77" s="17" t="s">
        <v>857</v>
      </c>
      <c r="R77" s="17" t="s">
        <v>858</v>
      </c>
      <c r="S77" s="17" t="s">
        <v>859</v>
      </c>
      <c r="T77" s="18"/>
      <c r="U77" s="5" t="s">
        <v>860</v>
      </c>
      <c r="V77" s="19" t="s">
        <v>861</v>
      </c>
      <c r="W77" s="17" t="s">
        <v>38</v>
      </c>
      <c r="X77" s="4" t="s">
        <v>862</v>
      </c>
      <c r="Y77" s="4" t="s">
        <v>40</v>
      </c>
      <c r="Z77" s="2"/>
    </row>
    <row r="78" spans="1:26" ht="19.5" customHeight="1">
      <c r="A78" s="9" t="s">
        <v>863</v>
      </c>
      <c r="B78" s="17" t="s">
        <v>864</v>
      </c>
      <c r="C78" s="17" t="s">
        <v>865</v>
      </c>
      <c r="D78" s="14" t="s">
        <v>195</v>
      </c>
      <c r="E78" s="21" t="s">
        <v>195</v>
      </c>
      <c r="F78" s="18">
        <v>2010</v>
      </c>
      <c r="G78" s="19" t="s">
        <v>80</v>
      </c>
      <c r="H78" s="18"/>
      <c r="I78" s="18">
        <v>141</v>
      </c>
      <c r="J78" s="18"/>
      <c r="K78" s="18">
        <v>1</v>
      </c>
      <c r="L78" s="18">
        <v>169</v>
      </c>
      <c r="M78" s="18">
        <v>168</v>
      </c>
      <c r="N78" s="18">
        <v>9</v>
      </c>
      <c r="O78" s="18"/>
      <c r="P78" s="38" t="s">
        <v>866</v>
      </c>
      <c r="Q78" s="17" t="s">
        <v>867</v>
      </c>
      <c r="R78" s="17" t="s">
        <v>868</v>
      </c>
      <c r="S78" s="17" t="s">
        <v>869</v>
      </c>
      <c r="T78" s="17" t="s">
        <v>870</v>
      </c>
      <c r="U78" s="5"/>
      <c r="V78" s="19" t="s">
        <v>86</v>
      </c>
      <c r="W78" s="17" t="s">
        <v>38</v>
      </c>
      <c r="X78" s="4" t="s">
        <v>87</v>
      </c>
      <c r="Y78" s="4" t="s">
        <v>40</v>
      </c>
      <c r="Z78" s="2"/>
    </row>
    <row r="79" spans="1:26" ht="19.5" customHeight="1">
      <c r="A79" s="9" t="s">
        <v>871</v>
      </c>
      <c r="B79" s="17" t="s">
        <v>872</v>
      </c>
      <c r="C79" s="17" t="s">
        <v>873</v>
      </c>
      <c r="D79" s="14" t="s">
        <v>195</v>
      </c>
      <c r="E79" s="21" t="s">
        <v>195</v>
      </c>
      <c r="F79" s="18">
        <v>2017</v>
      </c>
      <c r="G79" s="19" t="s">
        <v>80</v>
      </c>
      <c r="H79" s="18"/>
      <c r="I79" s="18">
        <v>277</v>
      </c>
      <c r="J79" s="18"/>
      <c r="K79" s="18">
        <v>1</v>
      </c>
      <c r="L79" s="18">
        <v>49</v>
      </c>
      <c r="M79" s="18">
        <v>48</v>
      </c>
      <c r="N79" s="18">
        <v>2</v>
      </c>
      <c r="O79" s="17" t="s">
        <v>874</v>
      </c>
      <c r="P79" s="38" t="s">
        <v>875</v>
      </c>
      <c r="Q79" s="17" t="s">
        <v>876</v>
      </c>
      <c r="R79" s="17" t="s">
        <v>877</v>
      </c>
      <c r="S79" s="17" t="s">
        <v>878</v>
      </c>
      <c r="T79" s="17" t="s">
        <v>879</v>
      </c>
      <c r="U79" s="5"/>
      <c r="V79" s="19" t="s">
        <v>86</v>
      </c>
      <c r="W79" s="17" t="s">
        <v>38</v>
      </c>
      <c r="X79" s="4" t="s">
        <v>87</v>
      </c>
      <c r="Y79" s="4" t="s">
        <v>40</v>
      </c>
      <c r="Z79" s="2"/>
    </row>
    <row r="80" spans="1:26" ht="19.5" customHeight="1">
      <c r="A80" s="9" t="s">
        <v>880</v>
      </c>
      <c r="B80" s="17" t="s">
        <v>881</v>
      </c>
      <c r="C80" s="17" t="s">
        <v>882</v>
      </c>
      <c r="D80" s="14" t="s">
        <v>195</v>
      </c>
      <c r="E80" s="21" t="s">
        <v>195</v>
      </c>
      <c r="F80" s="18">
        <v>2022</v>
      </c>
      <c r="G80" s="19" t="s">
        <v>883</v>
      </c>
      <c r="H80" s="18">
        <v>53</v>
      </c>
      <c r="I80" s="18"/>
      <c r="J80" s="18">
        <v>101152</v>
      </c>
      <c r="K80" s="18"/>
      <c r="L80" s="18"/>
      <c r="M80" s="18"/>
      <c r="N80" s="18">
        <v>5</v>
      </c>
      <c r="O80" s="17" t="s">
        <v>884</v>
      </c>
      <c r="P80" s="38" t="s">
        <v>885</v>
      </c>
      <c r="Q80" s="17" t="s">
        <v>886</v>
      </c>
      <c r="R80" s="17" t="s">
        <v>887</v>
      </c>
      <c r="S80" s="17" t="s">
        <v>888</v>
      </c>
      <c r="T80" s="17" t="s">
        <v>889</v>
      </c>
      <c r="U80" s="5" t="s">
        <v>890</v>
      </c>
      <c r="V80" s="19" t="s">
        <v>695</v>
      </c>
      <c r="W80" s="17" t="s">
        <v>38</v>
      </c>
      <c r="X80" s="4" t="s">
        <v>891</v>
      </c>
      <c r="Y80" s="4" t="s">
        <v>40</v>
      </c>
      <c r="Z80" s="2"/>
    </row>
    <row r="81" spans="1:26" ht="19.5" customHeight="1">
      <c r="A81" s="9" t="s">
        <v>892</v>
      </c>
      <c r="B81" s="17" t="s">
        <v>893</v>
      </c>
      <c r="C81" s="17" t="s">
        <v>894</v>
      </c>
      <c r="D81" s="14" t="s">
        <v>28</v>
      </c>
      <c r="E81" s="14" t="s">
        <v>28</v>
      </c>
      <c r="F81" s="18">
        <v>2011</v>
      </c>
      <c r="G81" s="19" t="s">
        <v>895</v>
      </c>
      <c r="H81" s="18">
        <v>48</v>
      </c>
      <c r="I81" s="18">
        <v>6</v>
      </c>
      <c r="J81" s="18"/>
      <c r="K81" s="18">
        <v>1217</v>
      </c>
      <c r="L81" s="18">
        <v>1233</v>
      </c>
      <c r="M81" s="18">
        <v>16</v>
      </c>
      <c r="N81" s="18">
        <v>19</v>
      </c>
      <c r="O81" s="17" t="s">
        <v>896</v>
      </c>
      <c r="P81" s="38" t="s">
        <v>897</v>
      </c>
      <c r="Q81" s="17" t="s">
        <v>898</v>
      </c>
      <c r="R81" s="17" t="s">
        <v>899</v>
      </c>
      <c r="S81" s="17" t="s">
        <v>900</v>
      </c>
      <c r="T81" s="18"/>
      <c r="U81" s="5" t="s">
        <v>901</v>
      </c>
      <c r="V81" s="22"/>
      <c r="W81" s="17" t="s">
        <v>38</v>
      </c>
      <c r="X81" s="4" t="s">
        <v>902</v>
      </c>
      <c r="Y81" s="4" t="s">
        <v>40</v>
      </c>
      <c r="Z81" s="2"/>
    </row>
    <row r="82" spans="1:26" ht="19.5" customHeight="1">
      <c r="A82" s="9" t="s">
        <v>903</v>
      </c>
      <c r="B82" s="17" t="s">
        <v>904</v>
      </c>
      <c r="C82" s="17" t="s">
        <v>905</v>
      </c>
      <c r="D82" s="14" t="s">
        <v>28</v>
      </c>
      <c r="E82" s="14" t="s">
        <v>28</v>
      </c>
      <c r="F82" s="18">
        <v>2019</v>
      </c>
      <c r="G82" s="19" t="s">
        <v>581</v>
      </c>
      <c r="H82" s="18">
        <v>37</v>
      </c>
      <c r="I82" s="18">
        <v>2</v>
      </c>
      <c r="J82" s="18"/>
      <c r="K82" s="18">
        <v>135</v>
      </c>
      <c r="L82" s="18">
        <v>150</v>
      </c>
      <c r="M82" s="18">
        <v>15</v>
      </c>
      <c r="N82" s="18">
        <v>11</v>
      </c>
      <c r="O82" s="17" t="s">
        <v>906</v>
      </c>
      <c r="P82" s="38" t="s">
        <v>907</v>
      </c>
      <c r="Q82" s="17" t="s">
        <v>908</v>
      </c>
      <c r="R82" s="17" t="s">
        <v>909</v>
      </c>
      <c r="S82" s="17" t="s">
        <v>910</v>
      </c>
      <c r="T82" s="17" t="s">
        <v>911</v>
      </c>
      <c r="U82" s="5"/>
      <c r="V82" s="19" t="s">
        <v>135</v>
      </c>
      <c r="W82" s="17" t="s">
        <v>38</v>
      </c>
      <c r="X82" s="4" t="s">
        <v>585</v>
      </c>
      <c r="Y82" s="4" t="s">
        <v>40</v>
      </c>
      <c r="Z82" s="2"/>
    </row>
    <row r="83" spans="1:26" ht="19.5" customHeight="1">
      <c r="A83" s="9" t="s">
        <v>912</v>
      </c>
      <c r="B83" s="17" t="s">
        <v>913</v>
      </c>
      <c r="C83" s="17" t="s">
        <v>914</v>
      </c>
      <c r="D83" s="14" t="s">
        <v>28</v>
      </c>
      <c r="E83" s="14" t="s">
        <v>28</v>
      </c>
      <c r="F83" s="18">
        <v>2011</v>
      </c>
      <c r="G83" s="19" t="s">
        <v>237</v>
      </c>
      <c r="H83" s="18">
        <v>4</v>
      </c>
      <c r="I83" s="18">
        <v>4</v>
      </c>
      <c r="J83" s="18"/>
      <c r="K83" s="18">
        <v>369</v>
      </c>
      <c r="L83" s="18">
        <v>393</v>
      </c>
      <c r="M83" s="18">
        <v>24</v>
      </c>
      <c r="N83" s="18">
        <v>4</v>
      </c>
      <c r="O83" s="17" t="s">
        <v>915</v>
      </c>
      <c r="P83" s="38" t="s">
        <v>916</v>
      </c>
      <c r="Q83" s="17" t="s">
        <v>917</v>
      </c>
      <c r="R83" s="17" t="s">
        <v>918</v>
      </c>
      <c r="S83" s="17" t="s">
        <v>919</v>
      </c>
      <c r="T83" s="17" t="s">
        <v>920</v>
      </c>
      <c r="U83" s="5"/>
      <c r="V83" s="22"/>
      <c r="W83" s="17" t="s">
        <v>38</v>
      </c>
      <c r="X83" s="4" t="s">
        <v>244</v>
      </c>
      <c r="Y83" s="4" t="s">
        <v>40</v>
      </c>
      <c r="Z83" s="2"/>
    </row>
    <row r="84" spans="1:26" ht="19.5" customHeight="1">
      <c r="A84" s="9" t="s">
        <v>921</v>
      </c>
      <c r="B84" s="17" t="s">
        <v>922</v>
      </c>
      <c r="C84" s="17" t="s">
        <v>923</v>
      </c>
      <c r="D84" s="14" t="s">
        <v>28</v>
      </c>
      <c r="E84" s="14" t="s">
        <v>28</v>
      </c>
      <c r="F84" s="18">
        <v>2024</v>
      </c>
      <c r="G84" s="19" t="s">
        <v>924</v>
      </c>
      <c r="H84" s="18">
        <v>16</v>
      </c>
      <c r="I84" s="18">
        <v>7</v>
      </c>
      <c r="J84" s="18">
        <v>2803</v>
      </c>
      <c r="K84" s="18"/>
      <c r="L84" s="18"/>
      <c r="M84" s="18"/>
      <c r="N84" s="18">
        <v>4</v>
      </c>
      <c r="O84" s="17" t="s">
        <v>925</v>
      </c>
      <c r="P84" s="38" t="s">
        <v>926</v>
      </c>
      <c r="Q84" s="17" t="s">
        <v>927</v>
      </c>
      <c r="R84" s="17" t="s">
        <v>928</v>
      </c>
      <c r="S84" s="17" t="s">
        <v>929</v>
      </c>
      <c r="T84" s="17" t="s">
        <v>930</v>
      </c>
      <c r="U84" s="5" t="s">
        <v>931</v>
      </c>
      <c r="V84" s="19" t="s">
        <v>932</v>
      </c>
      <c r="W84" s="17" t="s">
        <v>38</v>
      </c>
      <c r="X84" s="4" t="s">
        <v>719</v>
      </c>
      <c r="Y84" s="4" t="s">
        <v>170</v>
      </c>
      <c r="Z84" s="2"/>
    </row>
    <row r="85" spans="1:26" ht="19.5" customHeight="1">
      <c r="A85" s="5" t="s">
        <v>933</v>
      </c>
      <c r="B85" s="5" t="s">
        <v>934</v>
      </c>
      <c r="C85" s="5" t="s">
        <v>935</v>
      </c>
      <c r="D85" s="14" t="s">
        <v>195</v>
      </c>
      <c r="E85" s="21" t="s">
        <v>195</v>
      </c>
      <c r="F85" s="5">
        <v>2022</v>
      </c>
      <c r="G85" s="5" t="s">
        <v>936</v>
      </c>
      <c r="H85" s="5">
        <v>14</v>
      </c>
      <c r="I85" s="5">
        <v>15</v>
      </c>
      <c r="J85" s="5">
        <v>9321</v>
      </c>
      <c r="K85" s="5" t="s">
        <v>30</v>
      </c>
      <c r="L85" s="5" t="s">
        <v>30</v>
      </c>
      <c r="M85" s="5">
        <v>17</v>
      </c>
      <c r="N85" s="5">
        <v>4</v>
      </c>
      <c r="O85" s="5" t="s">
        <v>937</v>
      </c>
      <c r="P85" s="15" t="str">
        <f>HYPERLINK("http://dx.doi.org/10.3390/su14159321","http://dx.doi.org/10.3390/su14159321")</f>
        <v>http://dx.doi.org/10.3390/su14159321</v>
      </c>
      <c r="Q85" s="5" t="s">
        <v>938</v>
      </c>
      <c r="R85" s="25" t="s">
        <v>939</v>
      </c>
      <c r="S85" s="5" t="s">
        <v>940</v>
      </c>
      <c r="T85" s="5" t="s">
        <v>941</v>
      </c>
      <c r="U85" s="5" t="s">
        <v>942</v>
      </c>
      <c r="V85" s="5" t="s">
        <v>718</v>
      </c>
      <c r="W85" s="5" t="s">
        <v>38</v>
      </c>
      <c r="X85" s="3" t="s">
        <v>719</v>
      </c>
      <c r="Y85" s="3" t="s">
        <v>40</v>
      </c>
      <c r="Z85" s="2"/>
    </row>
    <row r="86" spans="1:26" ht="19.5" customHeight="1">
      <c r="A86" s="5" t="s">
        <v>943</v>
      </c>
      <c r="B86" s="5" t="s">
        <v>944</v>
      </c>
      <c r="C86" s="5" t="s">
        <v>945</v>
      </c>
      <c r="D86" s="14" t="s">
        <v>28</v>
      </c>
      <c r="E86" s="14" t="s">
        <v>28</v>
      </c>
      <c r="F86" s="5">
        <v>2021</v>
      </c>
      <c r="G86" s="5" t="s">
        <v>946</v>
      </c>
      <c r="H86" s="5">
        <v>147</v>
      </c>
      <c r="I86" s="5">
        <v>1</v>
      </c>
      <c r="J86" s="5">
        <v>5020030</v>
      </c>
      <c r="K86" s="5" t="s">
        <v>30</v>
      </c>
      <c r="L86" s="5" t="s">
        <v>30</v>
      </c>
      <c r="M86" s="5">
        <v>13</v>
      </c>
      <c r="N86" s="5">
        <v>3</v>
      </c>
      <c r="O86" s="5" t="s">
        <v>947</v>
      </c>
      <c r="P86" s="15" t="str">
        <f>HYPERLINK("http://dx.doi.org/10.1061/(ASCE)UP.1943-5444.0000633","http://dx.doi.org/10.1061/(ASCE)UP.1943-5444.0000633")</f>
        <v>http://dx.doi.org/10.1061/(ASCE)UP.1943-5444.0000633</v>
      </c>
      <c r="Q86" s="5" t="s">
        <v>948</v>
      </c>
      <c r="R86" s="25" t="s">
        <v>949</v>
      </c>
      <c r="S86" s="5" t="s">
        <v>950</v>
      </c>
      <c r="T86" s="5" t="s">
        <v>951</v>
      </c>
      <c r="U86" s="5" t="s">
        <v>952</v>
      </c>
      <c r="V86" s="5" t="s">
        <v>953</v>
      </c>
      <c r="W86" s="5" t="s">
        <v>38</v>
      </c>
      <c r="X86" s="3" t="s">
        <v>954</v>
      </c>
      <c r="Y86" s="3" t="s">
        <v>40</v>
      </c>
      <c r="Z86" s="2"/>
    </row>
    <row r="87" spans="1:26" ht="19.5" customHeight="1">
      <c r="A87" s="5" t="s">
        <v>955</v>
      </c>
      <c r="B87" s="5" t="s">
        <v>956</v>
      </c>
      <c r="C87" s="5" t="s">
        <v>957</v>
      </c>
      <c r="D87" s="14" t="s">
        <v>28</v>
      </c>
      <c r="E87" s="14" t="s">
        <v>28</v>
      </c>
      <c r="F87" s="5">
        <v>2023</v>
      </c>
      <c r="G87" s="5" t="s">
        <v>958</v>
      </c>
      <c r="H87" s="5">
        <v>13</v>
      </c>
      <c r="I87" s="5">
        <v>9</v>
      </c>
      <c r="J87" s="5">
        <v>2229</v>
      </c>
      <c r="K87" s="5" t="s">
        <v>30</v>
      </c>
      <c r="L87" s="5" t="s">
        <v>30</v>
      </c>
      <c r="M87" s="5">
        <v>25</v>
      </c>
      <c r="N87" s="5">
        <v>1</v>
      </c>
      <c r="O87" s="5" t="s">
        <v>959</v>
      </c>
      <c r="P87" s="15" t="str">
        <f>HYPERLINK("http://dx.doi.org/10.3390/buildings13092229","http://dx.doi.org/10.3390/buildings13092229")</f>
        <v>http://dx.doi.org/10.3390/buildings13092229</v>
      </c>
      <c r="Q87" s="5" t="s">
        <v>960</v>
      </c>
      <c r="R87" s="25" t="s">
        <v>961</v>
      </c>
      <c r="S87" s="5" t="s">
        <v>962</v>
      </c>
      <c r="T87" s="5" t="s">
        <v>963</v>
      </c>
      <c r="U87" s="5" t="s">
        <v>964</v>
      </c>
      <c r="V87" s="5" t="s">
        <v>718</v>
      </c>
      <c r="W87" s="5" t="s">
        <v>38</v>
      </c>
      <c r="X87" s="3" t="s">
        <v>965</v>
      </c>
      <c r="Y87" s="3" t="s">
        <v>40</v>
      </c>
      <c r="Z87" s="2"/>
    </row>
    <row r="88" spans="1:26" ht="19.5" customHeight="1">
      <c r="A88" s="9" t="s">
        <v>966</v>
      </c>
      <c r="B88" s="17" t="s">
        <v>967</v>
      </c>
      <c r="C88" s="17" t="s">
        <v>968</v>
      </c>
      <c r="D88" s="14" t="s">
        <v>28</v>
      </c>
      <c r="E88" s="14" t="s">
        <v>28</v>
      </c>
      <c r="F88" s="18">
        <v>2008</v>
      </c>
      <c r="G88" s="19" t="s">
        <v>787</v>
      </c>
      <c r="H88" s="18">
        <v>19</v>
      </c>
      <c r="I88" s="18">
        <v>4</v>
      </c>
      <c r="J88" s="18"/>
      <c r="K88" s="18">
        <v>741</v>
      </c>
      <c r="L88" s="18">
        <v>774</v>
      </c>
      <c r="M88" s="18">
        <v>33</v>
      </c>
      <c r="N88" s="18">
        <v>33</v>
      </c>
      <c r="O88" s="17" t="s">
        <v>969</v>
      </c>
      <c r="P88" s="38" t="s">
        <v>970</v>
      </c>
      <c r="Q88" s="17" t="s">
        <v>971</v>
      </c>
      <c r="R88" s="17" t="s">
        <v>972</v>
      </c>
      <c r="S88" s="17" t="s">
        <v>973</v>
      </c>
      <c r="T88" s="17" t="s">
        <v>974</v>
      </c>
      <c r="U88" s="5"/>
      <c r="V88" s="19" t="s">
        <v>135</v>
      </c>
      <c r="W88" s="17" t="s">
        <v>38</v>
      </c>
      <c r="X88" s="4" t="s">
        <v>794</v>
      </c>
      <c r="Y88" s="4" t="s">
        <v>40</v>
      </c>
      <c r="Z88" s="2"/>
    </row>
    <row r="89" spans="1:26" ht="19.5" customHeight="1">
      <c r="A89" s="9" t="s">
        <v>975</v>
      </c>
      <c r="B89" s="17" t="s">
        <v>976</v>
      </c>
      <c r="C89" s="17" t="s">
        <v>977</v>
      </c>
      <c r="D89" s="14" t="s">
        <v>195</v>
      </c>
      <c r="E89" s="21" t="s">
        <v>195</v>
      </c>
      <c r="F89" s="18">
        <v>2024</v>
      </c>
      <c r="G89" s="19" t="s">
        <v>895</v>
      </c>
      <c r="H89" s="18">
        <v>61</v>
      </c>
      <c r="I89" s="18">
        <v>16</v>
      </c>
      <c r="J89" s="18"/>
      <c r="K89" s="18">
        <v>3086</v>
      </c>
      <c r="L89" s="18">
        <v>3109</v>
      </c>
      <c r="M89" s="18">
        <v>23</v>
      </c>
      <c r="N89" s="18">
        <v>1</v>
      </c>
      <c r="O89" s="17" t="s">
        <v>978</v>
      </c>
      <c r="P89" s="38" t="s">
        <v>979</v>
      </c>
      <c r="Q89" s="17" t="s">
        <v>980</v>
      </c>
      <c r="R89" s="17" t="s">
        <v>981</v>
      </c>
      <c r="S89" s="38" t="s">
        <v>982</v>
      </c>
      <c r="T89" s="17" t="s">
        <v>983</v>
      </c>
      <c r="U89" s="5" t="s">
        <v>984</v>
      </c>
      <c r="V89" s="19" t="s">
        <v>160</v>
      </c>
      <c r="W89" s="17" t="s">
        <v>38</v>
      </c>
      <c r="X89" s="4" t="s">
        <v>902</v>
      </c>
      <c r="Y89" s="4" t="s">
        <v>40</v>
      </c>
      <c r="Z89" s="2"/>
    </row>
    <row r="90" spans="1:26" ht="19.5" customHeight="1">
      <c r="A90" s="9" t="s">
        <v>985</v>
      </c>
      <c r="B90" s="17" t="s">
        <v>986</v>
      </c>
      <c r="C90" s="17" t="s">
        <v>987</v>
      </c>
      <c r="D90" s="14" t="s">
        <v>28</v>
      </c>
      <c r="E90" s="14" t="s">
        <v>28</v>
      </c>
      <c r="F90" s="18">
        <v>2024</v>
      </c>
      <c r="G90" s="19" t="s">
        <v>988</v>
      </c>
      <c r="H90" s="18">
        <v>21</v>
      </c>
      <c r="I90" s="18">
        <v>1</v>
      </c>
      <c r="J90" s="18"/>
      <c r="K90" s="18">
        <v>303</v>
      </c>
      <c r="L90" s="18">
        <v>316</v>
      </c>
      <c r="M90" s="18">
        <v>13</v>
      </c>
      <c r="N90" s="18">
        <v>0</v>
      </c>
      <c r="O90" s="18"/>
      <c r="P90" s="38" t="s">
        <v>989</v>
      </c>
      <c r="Q90" s="17" t="s">
        <v>990</v>
      </c>
      <c r="R90" s="17" t="s">
        <v>991</v>
      </c>
      <c r="S90" s="17" t="s">
        <v>992</v>
      </c>
      <c r="T90" s="17" t="s">
        <v>993</v>
      </c>
      <c r="U90" s="5"/>
      <c r="V90" s="19" t="s">
        <v>994</v>
      </c>
      <c r="W90" s="17" t="s">
        <v>38</v>
      </c>
      <c r="X90" s="4" t="s">
        <v>995</v>
      </c>
      <c r="Y90" s="4" t="s">
        <v>40</v>
      </c>
      <c r="Z90" s="2"/>
    </row>
    <row r="91" spans="1:26" ht="19.5" customHeight="1">
      <c r="A91" s="9" t="s">
        <v>996</v>
      </c>
      <c r="B91" s="17" t="s">
        <v>997</v>
      </c>
      <c r="C91" s="17" t="s">
        <v>998</v>
      </c>
      <c r="D91" s="14" t="s">
        <v>28</v>
      </c>
      <c r="E91" s="14" t="s">
        <v>28</v>
      </c>
      <c r="F91" s="18">
        <v>2022</v>
      </c>
      <c r="G91" s="19" t="s">
        <v>409</v>
      </c>
      <c r="H91" s="18">
        <v>344</v>
      </c>
      <c r="I91" s="18"/>
      <c r="J91" s="18">
        <v>130956</v>
      </c>
      <c r="K91" s="18"/>
      <c r="L91" s="18"/>
      <c r="M91" s="18"/>
      <c r="N91" s="18">
        <v>11</v>
      </c>
      <c r="O91" s="17" t="s">
        <v>999</v>
      </c>
      <c r="P91" s="38" t="s">
        <v>1000</v>
      </c>
      <c r="Q91" s="17" t="s">
        <v>1001</v>
      </c>
      <c r="R91" s="17" t="s">
        <v>1002</v>
      </c>
      <c r="S91" s="17" t="s">
        <v>1003</v>
      </c>
      <c r="T91" s="17" t="s">
        <v>1004</v>
      </c>
      <c r="U91" s="5" t="s">
        <v>1005</v>
      </c>
      <c r="V91" s="19" t="s">
        <v>212</v>
      </c>
      <c r="W91" s="17" t="s">
        <v>38</v>
      </c>
      <c r="X91" s="4" t="s">
        <v>417</v>
      </c>
      <c r="Y91" s="4" t="s">
        <v>40</v>
      </c>
      <c r="Z91" s="2"/>
    </row>
    <row r="92" spans="1:26" ht="19.5" customHeight="1">
      <c r="A92" s="9" t="s">
        <v>1006</v>
      </c>
      <c r="B92" s="17" t="s">
        <v>1007</v>
      </c>
      <c r="C92" s="17" t="s">
        <v>1008</v>
      </c>
      <c r="D92" s="14" t="s">
        <v>28</v>
      </c>
      <c r="E92" s="14" t="s">
        <v>28</v>
      </c>
      <c r="F92" s="18">
        <v>2019</v>
      </c>
      <c r="G92" s="19" t="s">
        <v>1009</v>
      </c>
      <c r="H92" s="18"/>
      <c r="I92" s="18">
        <v>119</v>
      </c>
      <c r="J92" s="18"/>
      <c r="K92" s="18">
        <v>46</v>
      </c>
      <c r="L92" s="18">
        <v>58</v>
      </c>
      <c r="M92" s="18">
        <v>12</v>
      </c>
      <c r="N92" s="18">
        <v>4</v>
      </c>
      <c r="O92" s="17" t="s">
        <v>1010</v>
      </c>
      <c r="P92" s="38" t="s">
        <v>1011</v>
      </c>
      <c r="Q92" s="17" t="s">
        <v>1012</v>
      </c>
      <c r="R92" s="17" t="s">
        <v>1013</v>
      </c>
      <c r="S92" s="17" t="s">
        <v>1014</v>
      </c>
      <c r="T92" s="17" t="s">
        <v>1015</v>
      </c>
      <c r="U92" s="5"/>
      <c r="V92" s="19" t="s">
        <v>1016</v>
      </c>
      <c r="W92" s="17" t="s">
        <v>38</v>
      </c>
      <c r="X92" s="4" t="s">
        <v>1017</v>
      </c>
      <c r="Y92" s="4" t="s">
        <v>40</v>
      </c>
      <c r="Z92" s="2"/>
    </row>
    <row r="93" spans="1:26" ht="19.5" customHeight="1">
      <c r="A93" s="5" t="s">
        <v>1018</v>
      </c>
      <c r="B93" s="5" t="s">
        <v>1019</v>
      </c>
      <c r="C93" s="5" t="s">
        <v>1020</v>
      </c>
      <c r="D93" s="14" t="s">
        <v>28</v>
      </c>
      <c r="E93" s="14" t="s">
        <v>28</v>
      </c>
      <c r="F93" s="5">
        <v>2024</v>
      </c>
      <c r="G93" s="5" t="s">
        <v>115</v>
      </c>
      <c r="H93" s="5">
        <v>39</v>
      </c>
      <c r="I93" s="5">
        <v>7</v>
      </c>
      <c r="J93" s="5" t="s">
        <v>30</v>
      </c>
      <c r="K93" s="5">
        <v>1632</v>
      </c>
      <c r="L93" s="5">
        <v>1657</v>
      </c>
      <c r="M93" s="5">
        <v>26</v>
      </c>
      <c r="N93" s="5">
        <v>0</v>
      </c>
      <c r="O93" s="5" t="s">
        <v>1021</v>
      </c>
      <c r="P93" s="15" t="str">
        <f>HYPERLINK("http://dx.doi.org/10.1080/02673037.2022.2135172","http://dx.doi.org/10.1080/02673037.2022.2135172")</f>
        <v>http://dx.doi.org/10.1080/02673037.2022.2135172</v>
      </c>
      <c r="Q93" s="5" t="s">
        <v>1022</v>
      </c>
      <c r="R93" s="25" t="s">
        <v>1023</v>
      </c>
      <c r="S93" s="5" t="s">
        <v>1024</v>
      </c>
      <c r="T93" s="5" t="s">
        <v>1025</v>
      </c>
      <c r="U93" s="5" t="s">
        <v>1026</v>
      </c>
      <c r="V93" s="5" t="s">
        <v>122</v>
      </c>
      <c r="W93" s="5" t="s">
        <v>38</v>
      </c>
      <c r="X93" s="3" t="s">
        <v>123</v>
      </c>
      <c r="Y93" s="3" t="s">
        <v>170</v>
      </c>
      <c r="Z93" s="2"/>
    </row>
    <row r="94" spans="1:26" ht="19.5" customHeight="1">
      <c r="A94" s="9" t="s">
        <v>1027</v>
      </c>
      <c r="B94" s="17" t="s">
        <v>1028</v>
      </c>
      <c r="C94" s="17" t="s">
        <v>1029</v>
      </c>
      <c r="D94" s="14" t="s">
        <v>28</v>
      </c>
      <c r="E94" s="14" t="s">
        <v>28</v>
      </c>
      <c r="F94" s="18">
        <v>2010</v>
      </c>
      <c r="G94" s="19" t="s">
        <v>1030</v>
      </c>
      <c r="H94" s="18">
        <v>31</v>
      </c>
      <c r="I94" s="18">
        <v>5</v>
      </c>
      <c r="J94" s="18"/>
      <c r="K94" s="18">
        <v>577</v>
      </c>
      <c r="L94" s="18">
        <v>590</v>
      </c>
      <c r="M94" s="18">
        <v>13</v>
      </c>
      <c r="N94" s="18">
        <v>25</v>
      </c>
      <c r="O94" s="17" t="s">
        <v>1031</v>
      </c>
      <c r="P94" s="38" t="s">
        <v>1032</v>
      </c>
      <c r="Q94" s="17" t="s">
        <v>1033</v>
      </c>
      <c r="R94" s="17" t="s">
        <v>1034</v>
      </c>
      <c r="S94" s="17" t="s">
        <v>1035</v>
      </c>
      <c r="T94" s="17" t="s">
        <v>1036</v>
      </c>
      <c r="U94" s="5"/>
      <c r="V94" s="22"/>
      <c r="W94" s="17" t="s">
        <v>38</v>
      </c>
      <c r="X94" s="4" t="s">
        <v>1037</v>
      </c>
      <c r="Y94" s="4" t="s">
        <v>40</v>
      </c>
      <c r="Z94" s="2"/>
    </row>
    <row r="95" spans="1:26" ht="19.5" customHeight="1">
      <c r="A95" s="9" t="s">
        <v>1038</v>
      </c>
      <c r="B95" s="17" t="s">
        <v>1039</v>
      </c>
      <c r="C95" s="17" t="s">
        <v>1040</v>
      </c>
      <c r="D95" s="14" t="s">
        <v>28</v>
      </c>
      <c r="E95" s="14" t="s">
        <v>28</v>
      </c>
      <c r="F95" s="18">
        <v>2020</v>
      </c>
      <c r="G95" s="19" t="s">
        <v>1041</v>
      </c>
      <c r="H95" s="18">
        <v>42</v>
      </c>
      <c r="I95" s="18">
        <v>7</v>
      </c>
      <c r="J95" s="18"/>
      <c r="K95" s="18">
        <v>975</v>
      </c>
      <c r="L95" s="18">
        <v>997</v>
      </c>
      <c r="M95" s="18">
        <v>22</v>
      </c>
      <c r="N95" s="18">
        <v>74</v>
      </c>
      <c r="O95" s="17" t="s">
        <v>1042</v>
      </c>
      <c r="P95" s="38" t="s">
        <v>1043</v>
      </c>
      <c r="Q95" s="17" t="s">
        <v>1044</v>
      </c>
      <c r="R95" s="17" t="s">
        <v>1045</v>
      </c>
      <c r="S95" s="17" t="s">
        <v>1046</v>
      </c>
      <c r="T95" s="18"/>
      <c r="U95" s="5" t="s">
        <v>1047</v>
      </c>
      <c r="V95" s="19" t="s">
        <v>64</v>
      </c>
      <c r="W95" s="17" t="s">
        <v>38</v>
      </c>
      <c r="X95" s="4" t="s">
        <v>1048</v>
      </c>
      <c r="Y95" s="4" t="s">
        <v>40</v>
      </c>
      <c r="Z95" s="2"/>
    </row>
    <row r="96" spans="1:26" ht="19.5" customHeight="1">
      <c r="A96" s="9" t="s">
        <v>1049</v>
      </c>
      <c r="B96" s="17" t="s">
        <v>1050</v>
      </c>
      <c r="C96" s="17" t="s">
        <v>1051</v>
      </c>
      <c r="D96" s="14" t="s">
        <v>1052</v>
      </c>
      <c r="E96" s="10" t="s">
        <v>195</v>
      </c>
      <c r="F96" s="18">
        <v>2023</v>
      </c>
      <c r="G96" s="19" t="s">
        <v>1053</v>
      </c>
      <c r="H96" s="18">
        <v>9</v>
      </c>
      <c r="I96" s="18">
        <v>8</v>
      </c>
      <c r="J96" s="17" t="s">
        <v>1054</v>
      </c>
      <c r="K96" s="18"/>
      <c r="L96" s="18"/>
      <c r="M96" s="18"/>
      <c r="N96" s="18">
        <v>0</v>
      </c>
      <c r="O96" s="17" t="s">
        <v>1055</v>
      </c>
      <c r="P96" s="38" t="s">
        <v>1056</v>
      </c>
      <c r="Q96" s="17" t="s">
        <v>1057</v>
      </c>
      <c r="R96" s="17" t="s">
        <v>1058</v>
      </c>
      <c r="S96" s="17" t="s">
        <v>1059</v>
      </c>
      <c r="T96" s="17" t="s">
        <v>1060</v>
      </c>
      <c r="U96" s="5"/>
      <c r="V96" s="19" t="s">
        <v>212</v>
      </c>
      <c r="W96" s="17" t="s">
        <v>38</v>
      </c>
      <c r="X96" s="4" t="s">
        <v>1061</v>
      </c>
      <c r="Y96" s="4" t="s">
        <v>40</v>
      </c>
      <c r="Z96" s="2"/>
    </row>
    <row r="97" spans="1:26" ht="19.5" customHeight="1">
      <c r="A97" s="9" t="s">
        <v>1062</v>
      </c>
      <c r="B97" s="17" t="s">
        <v>1063</v>
      </c>
      <c r="C97" s="17" t="s">
        <v>1064</v>
      </c>
      <c r="D97" s="14" t="s">
        <v>28</v>
      </c>
      <c r="E97" s="14" t="s">
        <v>28</v>
      </c>
      <c r="F97" s="18">
        <v>2020</v>
      </c>
      <c r="G97" s="19" t="s">
        <v>687</v>
      </c>
      <c r="H97" s="18">
        <v>80</v>
      </c>
      <c r="I97" s="18"/>
      <c r="J97" s="18">
        <v>103376</v>
      </c>
      <c r="K97" s="18"/>
      <c r="L97" s="18"/>
      <c r="M97" s="18"/>
      <c r="N97" s="18">
        <v>2</v>
      </c>
      <c r="O97" s="17" t="s">
        <v>1065</v>
      </c>
      <c r="P97" s="38" t="s">
        <v>1066</v>
      </c>
      <c r="Q97" s="17" t="s">
        <v>1067</v>
      </c>
      <c r="R97" s="17" t="s">
        <v>1068</v>
      </c>
      <c r="S97" s="17" t="s">
        <v>1069</v>
      </c>
      <c r="T97" s="17" t="s">
        <v>1070</v>
      </c>
      <c r="U97" s="5" t="s">
        <v>1071</v>
      </c>
      <c r="V97" s="19" t="s">
        <v>695</v>
      </c>
      <c r="W97" s="17" t="s">
        <v>38</v>
      </c>
      <c r="X97" s="4" t="s">
        <v>696</v>
      </c>
      <c r="Y97" s="4" t="s">
        <v>40</v>
      </c>
      <c r="Z97" s="6" t="s">
        <v>1072</v>
      </c>
    </row>
    <row r="98" spans="1:26" ht="19.5" customHeight="1">
      <c r="A98" s="5" t="s">
        <v>1073</v>
      </c>
      <c r="B98" s="5" t="s">
        <v>1074</v>
      </c>
      <c r="C98" s="5" t="s">
        <v>1075</v>
      </c>
      <c r="D98" s="14" t="s">
        <v>28</v>
      </c>
      <c r="E98" s="14" t="s">
        <v>28</v>
      </c>
      <c r="F98" s="5">
        <v>2024</v>
      </c>
      <c r="G98" s="5" t="s">
        <v>115</v>
      </c>
      <c r="H98" s="5">
        <v>39</v>
      </c>
      <c r="I98" s="5">
        <v>9</v>
      </c>
      <c r="J98" s="5" t="s">
        <v>30</v>
      </c>
      <c r="K98" s="5">
        <v>2300</v>
      </c>
      <c r="L98" s="5">
        <v>2324</v>
      </c>
      <c r="M98" s="5">
        <v>25</v>
      </c>
      <c r="N98" s="5">
        <v>25</v>
      </c>
      <c r="O98" s="5" t="s">
        <v>1076</v>
      </c>
      <c r="P98" s="15" t="str">
        <f>HYPERLINK("http://dx.doi.org/10.1080/02673037.2023.2176830","http://dx.doi.org/10.1080/02673037.2023.2176830")</f>
        <v>http://dx.doi.org/10.1080/02673037.2023.2176830</v>
      </c>
      <c r="Q98" s="5" t="s">
        <v>1077</v>
      </c>
      <c r="R98" s="25" t="s">
        <v>1078</v>
      </c>
      <c r="S98" s="5" t="s">
        <v>1079</v>
      </c>
      <c r="T98" s="5" t="s">
        <v>1080</v>
      </c>
      <c r="U98" s="5" t="s">
        <v>1081</v>
      </c>
      <c r="V98" s="5" t="s">
        <v>122</v>
      </c>
      <c r="W98" s="5" t="s">
        <v>38</v>
      </c>
      <c r="X98" s="3" t="s">
        <v>123</v>
      </c>
      <c r="Y98" s="3" t="s">
        <v>40</v>
      </c>
      <c r="Z98" s="2"/>
    </row>
    <row r="99" spans="1:26" ht="19.5" customHeight="1">
      <c r="A99" s="5" t="s">
        <v>1082</v>
      </c>
      <c r="B99" s="5" t="s">
        <v>1083</v>
      </c>
      <c r="C99" s="5" t="s">
        <v>1084</v>
      </c>
      <c r="D99" s="14" t="s">
        <v>28</v>
      </c>
      <c r="E99" s="14" t="s">
        <v>28</v>
      </c>
      <c r="F99" s="5">
        <v>2024</v>
      </c>
      <c r="G99" s="5" t="s">
        <v>1085</v>
      </c>
      <c r="H99" s="5">
        <v>37</v>
      </c>
      <c r="I99" s="5">
        <v>2</v>
      </c>
      <c r="J99" s="5" t="s">
        <v>30</v>
      </c>
      <c r="K99" s="5">
        <v>427</v>
      </c>
      <c r="L99" s="5">
        <v>456</v>
      </c>
      <c r="M99" s="5">
        <v>30</v>
      </c>
      <c r="N99" s="5">
        <v>0</v>
      </c>
      <c r="O99" s="5" t="s">
        <v>1086</v>
      </c>
      <c r="P99" s="15" t="str">
        <f>HYPERLINK("http://dx.doi.org/10.1017/cjlj.2024.11","http://dx.doi.org/10.1017/cjlj.2024.11")</f>
        <v>http://dx.doi.org/10.1017/cjlj.2024.11</v>
      </c>
      <c r="Q99" s="5" t="s">
        <v>1087</v>
      </c>
      <c r="R99" s="25" t="s">
        <v>1088</v>
      </c>
      <c r="S99" s="5" t="s">
        <v>1089</v>
      </c>
      <c r="T99" s="5" t="s">
        <v>1090</v>
      </c>
      <c r="U99" s="5" t="s">
        <v>1091</v>
      </c>
      <c r="V99" s="5" t="s">
        <v>1092</v>
      </c>
      <c r="W99" s="5" t="s">
        <v>38</v>
      </c>
      <c r="X99" s="3" t="s">
        <v>1093</v>
      </c>
      <c r="Y99" s="3" t="s">
        <v>40</v>
      </c>
      <c r="Z99" s="2"/>
    </row>
    <row r="100" spans="1:26" ht="19.5" customHeight="1">
      <c r="A100" s="9" t="s">
        <v>1094</v>
      </c>
      <c r="B100" s="17" t="s">
        <v>1095</v>
      </c>
      <c r="C100" s="17" t="s">
        <v>1096</v>
      </c>
      <c r="D100" s="14" t="s">
        <v>28</v>
      </c>
      <c r="E100" s="14" t="s">
        <v>28</v>
      </c>
      <c r="F100" s="18">
        <v>2017</v>
      </c>
      <c r="G100" s="19" t="s">
        <v>80</v>
      </c>
      <c r="H100" s="18"/>
      <c r="I100" s="18">
        <v>288</v>
      </c>
      <c r="J100" s="18"/>
      <c r="K100" s="18">
        <v>1</v>
      </c>
      <c r="L100" s="18">
        <v>126</v>
      </c>
      <c r="M100" s="18">
        <v>125</v>
      </c>
      <c r="N100" s="18">
        <v>9</v>
      </c>
      <c r="O100" s="17" t="s">
        <v>1097</v>
      </c>
      <c r="P100" s="38" t="s">
        <v>1098</v>
      </c>
      <c r="Q100" s="17" t="s">
        <v>1099</v>
      </c>
      <c r="R100" s="17" t="s">
        <v>1100</v>
      </c>
      <c r="S100" s="17" t="s">
        <v>1101</v>
      </c>
      <c r="T100" s="18"/>
      <c r="U100" s="5"/>
      <c r="V100" s="19" t="s">
        <v>86</v>
      </c>
      <c r="W100" s="17" t="s">
        <v>38</v>
      </c>
      <c r="X100" s="4" t="s">
        <v>87</v>
      </c>
      <c r="Y100" s="4" t="s">
        <v>170</v>
      </c>
      <c r="Z100" s="2"/>
    </row>
    <row r="101" spans="1:26" ht="19.5" customHeight="1">
      <c r="A101" s="9" t="s">
        <v>1102</v>
      </c>
      <c r="B101" s="17" t="s">
        <v>1103</v>
      </c>
      <c r="C101" s="17" t="s">
        <v>1104</v>
      </c>
      <c r="D101" s="14" t="s">
        <v>28</v>
      </c>
      <c r="E101" s="14" t="s">
        <v>28</v>
      </c>
      <c r="F101" s="18">
        <v>2014</v>
      </c>
      <c r="G101" s="19" t="s">
        <v>115</v>
      </c>
      <c r="H101" s="18">
        <v>29</v>
      </c>
      <c r="I101" s="18">
        <v>8</v>
      </c>
      <c r="J101" s="18"/>
      <c r="K101" s="18">
        <v>1073</v>
      </c>
      <c r="L101" s="18">
        <v>1095</v>
      </c>
      <c r="M101" s="18">
        <v>22</v>
      </c>
      <c r="N101" s="18">
        <v>54</v>
      </c>
      <c r="O101" s="17" t="s">
        <v>1105</v>
      </c>
      <c r="P101" s="38" t="s">
        <v>1106</v>
      </c>
      <c r="Q101" s="17" t="s">
        <v>1107</v>
      </c>
      <c r="R101" s="17" t="s">
        <v>1108</v>
      </c>
      <c r="S101" s="17" t="s">
        <v>1109</v>
      </c>
      <c r="T101" s="17" t="s">
        <v>1110</v>
      </c>
      <c r="U101" s="5" t="s">
        <v>1111</v>
      </c>
      <c r="V101" s="19" t="s">
        <v>135</v>
      </c>
      <c r="W101" s="17" t="s">
        <v>38</v>
      </c>
      <c r="X101" s="4" t="s">
        <v>123</v>
      </c>
      <c r="Y101" s="4" t="s">
        <v>40</v>
      </c>
      <c r="Z101" s="6" t="s">
        <v>1072</v>
      </c>
    </row>
    <row r="102" spans="1:26" ht="19.5" customHeight="1">
      <c r="A102" s="5" t="s">
        <v>1112</v>
      </c>
      <c r="B102" s="5" t="s">
        <v>1113</v>
      </c>
      <c r="C102" s="5" t="s">
        <v>1114</v>
      </c>
      <c r="D102" s="13" t="s">
        <v>723</v>
      </c>
      <c r="E102" s="21" t="s">
        <v>723</v>
      </c>
      <c r="F102" s="5">
        <v>2024</v>
      </c>
      <c r="G102" s="5" t="s">
        <v>1115</v>
      </c>
      <c r="H102" s="5">
        <v>13</v>
      </c>
      <c r="I102" s="5">
        <v>83</v>
      </c>
      <c r="J102" s="5" t="s">
        <v>30</v>
      </c>
      <c r="K102" s="5" t="s">
        <v>30</v>
      </c>
      <c r="L102" s="5" t="s">
        <v>30</v>
      </c>
      <c r="M102" s="5">
        <v>12</v>
      </c>
      <c r="N102" s="5">
        <v>0</v>
      </c>
      <c r="O102" s="5" t="s">
        <v>1116</v>
      </c>
      <c r="P102" s="15" t="str">
        <f>HYPERLINK("http://dx.doi.org/10.34069/AI/2024.83.11.5","http://dx.doi.org/10.34069/AI/2024.83.11.5")</f>
        <v>http://dx.doi.org/10.34069/AI/2024.83.11.5</v>
      </c>
      <c r="Q102" s="5" t="s">
        <v>1117</v>
      </c>
      <c r="R102" s="25" t="s">
        <v>1118</v>
      </c>
      <c r="S102" s="5" t="s">
        <v>1119</v>
      </c>
      <c r="T102" s="5" t="s">
        <v>1120</v>
      </c>
      <c r="U102" s="5" t="s">
        <v>30</v>
      </c>
      <c r="V102" s="5" t="s">
        <v>1121</v>
      </c>
      <c r="W102" s="5" t="s">
        <v>38</v>
      </c>
      <c r="X102" s="3" t="s">
        <v>1122</v>
      </c>
      <c r="Y102" s="3" t="s">
        <v>40</v>
      </c>
      <c r="Z102" s="2"/>
    </row>
    <row r="103" spans="1:26" ht="19.5" customHeight="1">
      <c r="A103" s="27" t="s">
        <v>1123</v>
      </c>
      <c r="B103" s="17" t="s">
        <v>1124</v>
      </c>
      <c r="C103" s="17" t="s">
        <v>1125</v>
      </c>
      <c r="D103" s="14" t="s">
        <v>28</v>
      </c>
      <c r="E103" s="14" t="s">
        <v>28</v>
      </c>
      <c r="F103" s="18">
        <v>2015</v>
      </c>
      <c r="G103" s="19" t="s">
        <v>1126</v>
      </c>
      <c r="H103" s="18">
        <v>162</v>
      </c>
      <c r="I103" s="18"/>
      <c r="J103" s="18"/>
      <c r="K103" s="18">
        <v>1</v>
      </c>
      <c r="L103" s="18">
        <v>72</v>
      </c>
      <c r="M103" s="18">
        <v>71</v>
      </c>
      <c r="N103" s="18">
        <v>2</v>
      </c>
      <c r="O103" s="18"/>
      <c r="P103" s="38" t="s">
        <v>1127</v>
      </c>
      <c r="Q103" s="17" t="s">
        <v>1128</v>
      </c>
      <c r="R103" s="17" t="s">
        <v>1129</v>
      </c>
      <c r="S103" s="17" t="s">
        <v>1130</v>
      </c>
      <c r="T103" s="18"/>
      <c r="U103" s="5"/>
      <c r="V103" s="19" t="s">
        <v>86</v>
      </c>
      <c r="W103" s="17" t="s">
        <v>38</v>
      </c>
      <c r="X103" s="4" t="s">
        <v>1131</v>
      </c>
      <c r="Y103" s="4" t="s">
        <v>170</v>
      </c>
      <c r="Z103" s="2"/>
    </row>
    <row r="104" spans="1:26" ht="19.5" customHeight="1">
      <c r="A104" s="9" t="s">
        <v>1132</v>
      </c>
      <c r="B104" s="17" t="s">
        <v>1133</v>
      </c>
      <c r="C104" s="17" t="s">
        <v>1134</v>
      </c>
      <c r="D104" s="14" t="s">
        <v>723</v>
      </c>
      <c r="E104" s="10" t="s">
        <v>723</v>
      </c>
      <c r="F104" s="18">
        <v>2018</v>
      </c>
      <c r="G104" s="19" t="s">
        <v>1135</v>
      </c>
      <c r="H104" s="18">
        <v>93</v>
      </c>
      <c r="I104" s="18"/>
      <c r="J104" s="18"/>
      <c r="K104" s="18">
        <v>642</v>
      </c>
      <c r="L104" s="18">
        <v>651</v>
      </c>
      <c r="M104" s="18">
        <v>9</v>
      </c>
      <c r="N104" s="18">
        <v>59</v>
      </c>
      <c r="O104" s="17" t="s">
        <v>1136</v>
      </c>
      <c r="P104" s="38" t="s">
        <v>1137</v>
      </c>
      <c r="Q104" s="17" t="s">
        <v>1138</v>
      </c>
      <c r="R104" s="17" t="s">
        <v>1139</v>
      </c>
      <c r="S104" s="17" t="s">
        <v>1140</v>
      </c>
      <c r="T104" s="17" t="s">
        <v>1141</v>
      </c>
      <c r="U104" s="5" t="s">
        <v>1142</v>
      </c>
      <c r="V104" s="19" t="s">
        <v>212</v>
      </c>
      <c r="W104" s="17" t="s">
        <v>38</v>
      </c>
      <c r="X104" s="4" t="s">
        <v>1143</v>
      </c>
      <c r="Y104" s="4" t="s">
        <v>170</v>
      </c>
      <c r="Z104" s="2"/>
    </row>
    <row r="105" spans="1:26" ht="19.5" customHeight="1">
      <c r="A105" s="9" t="s">
        <v>1144</v>
      </c>
      <c r="B105" s="17" t="s">
        <v>1145</v>
      </c>
      <c r="C105" s="17" t="s">
        <v>1146</v>
      </c>
      <c r="D105" s="14" t="s">
        <v>28</v>
      </c>
      <c r="E105" s="14" t="s">
        <v>28</v>
      </c>
      <c r="F105" s="18">
        <v>2014</v>
      </c>
      <c r="G105" s="19" t="s">
        <v>1147</v>
      </c>
      <c r="H105" s="18"/>
      <c r="I105" s="18"/>
      <c r="J105" s="18"/>
      <c r="K105" s="18"/>
      <c r="L105" s="18"/>
      <c r="M105" s="18"/>
      <c r="N105" s="18">
        <v>0</v>
      </c>
      <c r="O105" s="18"/>
      <c r="P105" s="38" t="s">
        <v>1148</v>
      </c>
      <c r="Q105" s="17" t="s">
        <v>1149</v>
      </c>
      <c r="R105" s="17" t="s">
        <v>1150</v>
      </c>
      <c r="S105" s="17" t="s">
        <v>1151</v>
      </c>
      <c r="T105" s="17" t="s">
        <v>1152</v>
      </c>
      <c r="U105" s="5" t="s">
        <v>1153</v>
      </c>
      <c r="V105" s="19" t="s">
        <v>86</v>
      </c>
      <c r="W105" s="17" t="s">
        <v>38</v>
      </c>
      <c r="X105" s="4" t="s">
        <v>1154</v>
      </c>
      <c r="Y105" s="4" t="s">
        <v>111</v>
      </c>
      <c r="Z105" s="2"/>
    </row>
    <row r="106" spans="1:26" ht="19.5" customHeight="1">
      <c r="A106" s="5" t="s">
        <v>1155</v>
      </c>
      <c r="B106" s="5" t="s">
        <v>1156</v>
      </c>
      <c r="C106" s="5" t="s">
        <v>1157</v>
      </c>
      <c r="D106" s="14" t="s">
        <v>28</v>
      </c>
      <c r="E106" s="14" t="s">
        <v>28</v>
      </c>
      <c r="F106" s="5">
        <v>2008</v>
      </c>
      <c r="G106" s="5" t="s">
        <v>843</v>
      </c>
      <c r="H106" s="5">
        <v>74</v>
      </c>
      <c r="I106" s="5">
        <v>1</v>
      </c>
      <c r="J106" s="5" t="s">
        <v>30</v>
      </c>
      <c r="K106" s="5">
        <v>5</v>
      </c>
      <c r="L106" s="5">
        <v>16</v>
      </c>
      <c r="M106" s="5">
        <v>12</v>
      </c>
      <c r="N106" s="5">
        <v>19</v>
      </c>
      <c r="O106" s="5" t="s">
        <v>1158</v>
      </c>
      <c r="P106" s="15" t="str">
        <f>HYPERLINK("http://dx.doi.org/10.1080/01944360701792231","http://dx.doi.org/10.1080/01944360701792231")</f>
        <v>http://dx.doi.org/10.1080/01944360701792231</v>
      </c>
      <c r="Q106" s="5" t="s">
        <v>1159</v>
      </c>
      <c r="R106" s="25" t="s">
        <v>1160</v>
      </c>
      <c r="S106" s="5" t="s">
        <v>1161</v>
      </c>
      <c r="T106" s="5" t="s">
        <v>1162</v>
      </c>
      <c r="U106" s="5" t="s">
        <v>1163</v>
      </c>
      <c r="V106" s="5" t="s">
        <v>1164</v>
      </c>
      <c r="W106" s="5" t="s">
        <v>38</v>
      </c>
      <c r="X106" s="3" t="s">
        <v>850</v>
      </c>
      <c r="Y106" s="3" t="s">
        <v>40</v>
      </c>
      <c r="Z106" s="2"/>
    </row>
    <row r="107" spans="1:26" ht="19.5" customHeight="1">
      <c r="A107" s="9" t="s">
        <v>1165</v>
      </c>
      <c r="B107" s="17" t="s">
        <v>1166</v>
      </c>
      <c r="C107" s="17" t="s">
        <v>1167</v>
      </c>
      <c r="D107" s="14" t="s">
        <v>28</v>
      </c>
      <c r="E107" s="14" t="s">
        <v>28</v>
      </c>
      <c r="F107" s="18">
        <v>2025</v>
      </c>
      <c r="G107" s="19" t="s">
        <v>958</v>
      </c>
      <c r="H107" s="18">
        <v>15</v>
      </c>
      <c r="I107" s="18">
        <v>3</v>
      </c>
      <c r="J107" s="18">
        <v>454</v>
      </c>
      <c r="K107" s="18"/>
      <c r="L107" s="18"/>
      <c r="M107" s="18"/>
      <c r="N107" s="18">
        <v>0</v>
      </c>
      <c r="O107" s="17" t="s">
        <v>1168</v>
      </c>
      <c r="P107" s="38" t="s">
        <v>1169</v>
      </c>
      <c r="Q107" s="17" t="s">
        <v>1170</v>
      </c>
      <c r="R107" s="17" t="s">
        <v>1171</v>
      </c>
      <c r="S107" s="17" t="s">
        <v>1172</v>
      </c>
      <c r="T107" s="17" t="s">
        <v>1173</v>
      </c>
      <c r="U107" s="5" t="s">
        <v>1174</v>
      </c>
      <c r="V107" s="19" t="s">
        <v>932</v>
      </c>
      <c r="W107" s="17" t="s">
        <v>38</v>
      </c>
      <c r="X107" s="4" t="s">
        <v>1175</v>
      </c>
      <c r="Y107" s="4" t="s">
        <v>40</v>
      </c>
      <c r="Z107" s="2"/>
    </row>
    <row r="108" spans="1:26" ht="19.5" customHeight="1">
      <c r="A108" s="9" t="s">
        <v>1176</v>
      </c>
      <c r="B108" s="17" t="s">
        <v>1177</v>
      </c>
      <c r="C108" s="17" t="s">
        <v>1178</v>
      </c>
      <c r="D108" s="14" t="s">
        <v>28</v>
      </c>
      <c r="E108" s="14" t="s">
        <v>28</v>
      </c>
      <c r="F108" s="18">
        <v>2013</v>
      </c>
      <c r="G108" s="19" t="s">
        <v>80</v>
      </c>
      <c r="H108" s="18"/>
      <c r="I108" s="18">
        <v>204</v>
      </c>
      <c r="J108" s="18"/>
      <c r="K108" s="18"/>
      <c r="L108" s="18"/>
      <c r="M108" s="18"/>
      <c r="N108" s="18">
        <v>1</v>
      </c>
      <c r="O108" s="18"/>
      <c r="P108" s="38" t="s">
        <v>1179</v>
      </c>
      <c r="Q108" s="17" t="s">
        <v>1180</v>
      </c>
      <c r="R108" s="17" t="s">
        <v>1181</v>
      </c>
      <c r="S108" s="17" t="s">
        <v>1182</v>
      </c>
      <c r="T108" s="17" t="s">
        <v>1183</v>
      </c>
      <c r="U108" s="5"/>
      <c r="V108" s="19" t="s">
        <v>86</v>
      </c>
      <c r="W108" s="17" t="s">
        <v>38</v>
      </c>
      <c r="X108" s="4" t="s">
        <v>87</v>
      </c>
      <c r="Y108" s="4" t="s">
        <v>40</v>
      </c>
      <c r="Z108" s="2"/>
    </row>
    <row r="109" spans="1:26" ht="19.5" customHeight="1">
      <c r="A109" s="9" t="s">
        <v>1184</v>
      </c>
      <c r="B109" s="17" t="s">
        <v>1185</v>
      </c>
      <c r="C109" s="17" t="s">
        <v>1186</v>
      </c>
      <c r="D109" s="14" t="s">
        <v>28</v>
      </c>
      <c r="E109" s="14" t="s">
        <v>28</v>
      </c>
      <c r="F109" s="18">
        <v>2018</v>
      </c>
      <c r="G109" s="19" t="s">
        <v>80</v>
      </c>
      <c r="H109" s="18"/>
      <c r="I109" s="18">
        <v>294</v>
      </c>
      <c r="J109" s="18"/>
      <c r="K109" s="18">
        <v>1</v>
      </c>
      <c r="L109" s="18">
        <v>102</v>
      </c>
      <c r="M109" s="18">
        <v>101</v>
      </c>
      <c r="N109" s="18">
        <v>10</v>
      </c>
      <c r="O109" s="17" t="s">
        <v>1187</v>
      </c>
      <c r="P109" s="38" t="s">
        <v>1188</v>
      </c>
      <c r="Q109" s="17" t="s">
        <v>680</v>
      </c>
      <c r="R109" s="17" t="s">
        <v>1189</v>
      </c>
      <c r="S109" s="17" t="s">
        <v>1190</v>
      </c>
      <c r="T109" s="17" t="s">
        <v>1191</v>
      </c>
      <c r="U109" s="5"/>
      <c r="V109" s="19" t="s">
        <v>86</v>
      </c>
      <c r="W109" s="17" t="s">
        <v>38</v>
      </c>
      <c r="X109" s="4" t="s">
        <v>87</v>
      </c>
      <c r="Y109" s="4" t="s">
        <v>170</v>
      </c>
      <c r="Z109" s="2"/>
    </row>
    <row r="110" spans="1:26" ht="19.5" customHeight="1">
      <c r="A110" s="9" t="s">
        <v>1192</v>
      </c>
      <c r="B110" s="17" t="s">
        <v>1193</v>
      </c>
      <c r="C110" s="17" t="s">
        <v>1194</v>
      </c>
      <c r="D110" s="14" t="s">
        <v>28</v>
      </c>
      <c r="E110" s="14" t="s">
        <v>28</v>
      </c>
      <c r="F110" s="18">
        <v>2022</v>
      </c>
      <c r="G110" s="19" t="s">
        <v>787</v>
      </c>
      <c r="H110" s="18">
        <v>32</v>
      </c>
      <c r="I110" s="17" t="s">
        <v>1195</v>
      </c>
      <c r="J110" s="18"/>
      <c r="K110" s="18">
        <v>713</v>
      </c>
      <c r="L110" s="18">
        <v>729</v>
      </c>
      <c r="M110" s="18">
        <v>16</v>
      </c>
      <c r="N110" s="18">
        <v>2</v>
      </c>
      <c r="O110" s="17" t="s">
        <v>1196</v>
      </c>
      <c r="P110" s="38" t="s">
        <v>1197</v>
      </c>
      <c r="Q110" s="17" t="s">
        <v>1198</v>
      </c>
      <c r="R110" s="17" t="s">
        <v>1199</v>
      </c>
      <c r="S110" s="17" t="s">
        <v>1200</v>
      </c>
      <c r="T110" s="17" t="s">
        <v>1201</v>
      </c>
      <c r="U110" s="5"/>
      <c r="V110" s="19" t="s">
        <v>135</v>
      </c>
      <c r="W110" s="17" t="s">
        <v>38</v>
      </c>
      <c r="X110" s="4" t="s">
        <v>794</v>
      </c>
      <c r="Y110" s="4" t="s">
        <v>40</v>
      </c>
      <c r="Z110" s="2"/>
    </row>
    <row r="111" spans="1:26" ht="19.5" customHeight="1">
      <c r="A111" s="9" t="s">
        <v>1202</v>
      </c>
      <c r="B111" s="17" t="s">
        <v>1203</v>
      </c>
      <c r="C111" s="17" t="s">
        <v>1204</v>
      </c>
      <c r="D111" s="14" t="s">
        <v>28</v>
      </c>
      <c r="E111" s="14" t="s">
        <v>28</v>
      </c>
      <c r="F111" s="18">
        <v>2021</v>
      </c>
      <c r="G111" s="19" t="s">
        <v>80</v>
      </c>
      <c r="H111" s="18"/>
      <c r="I111" s="18">
        <v>353</v>
      </c>
      <c r="J111" s="18"/>
      <c r="K111" s="18"/>
      <c r="L111" s="18"/>
      <c r="M111" s="18"/>
      <c r="N111" s="18">
        <v>0</v>
      </c>
      <c r="O111" s="17" t="s">
        <v>1205</v>
      </c>
      <c r="P111" s="38" t="s">
        <v>1206</v>
      </c>
      <c r="Q111" s="17" t="s">
        <v>1207</v>
      </c>
      <c r="R111" s="17" t="s">
        <v>1208</v>
      </c>
      <c r="S111" s="17" t="s">
        <v>1209</v>
      </c>
      <c r="T111" s="17" t="s">
        <v>1210</v>
      </c>
      <c r="U111" s="5"/>
      <c r="V111" s="19" t="s">
        <v>86</v>
      </c>
      <c r="W111" s="17" t="s">
        <v>38</v>
      </c>
      <c r="X111" s="4" t="s">
        <v>87</v>
      </c>
      <c r="Y111" s="4" t="s">
        <v>40</v>
      </c>
      <c r="Z111" s="2"/>
    </row>
    <row r="112" spans="1:26" ht="19.5" customHeight="1">
      <c r="A112" s="9" t="s">
        <v>1211</v>
      </c>
      <c r="B112" s="17" t="s">
        <v>1212</v>
      </c>
      <c r="C112" s="17" t="s">
        <v>1213</v>
      </c>
      <c r="D112" s="14" t="s">
        <v>28</v>
      </c>
      <c r="E112" s="14" t="s">
        <v>28</v>
      </c>
      <c r="F112" s="18">
        <v>2022</v>
      </c>
      <c r="G112" s="19" t="s">
        <v>140</v>
      </c>
      <c r="H112" s="18">
        <v>37</v>
      </c>
      <c r="I112" s="18">
        <v>1</v>
      </c>
      <c r="J112" s="18"/>
      <c r="K112" s="18">
        <v>529</v>
      </c>
      <c r="L112" s="18">
        <v>551</v>
      </c>
      <c r="M112" s="18">
        <v>22</v>
      </c>
      <c r="N112" s="18">
        <v>5</v>
      </c>
      <c r="O112" s="17" t="s">
        <v>1214</v>
      </c>
      <c r="P112" s="38" t="s">
        <v>1215</v>
      </c>
      <c r="Q112" s="17" t="s">
        <v>1216</v>
      </c>
      <c r="R112" s="17" t="s">
        <v>1217</v>
      </c>
      <c r="S112" s="17" t="s">
        <v>1218</v>
      </c>
      <c r="T112" s="17" t="s">
        <v>1219</v>
      </c>
      <c r="U112" s="5" t="s">
        <v>1220</v>
      </c>
      <c r="V112" s="19" t="s">
        <v>428</v>
      </c>
      <c r="W112" s="17" t="s">
        <v>38</v>
      </c>
      <c r="X112" s="4" t="s">
        <v>148</v>
      </c>
      <c r="Y112" s="4" t="s">
        <v>40</v>
      </c>
      <c r="Z112" s="2"/>
    </row>
    <row r="113" spans="1:26" ht="19.5" customHeight="1">
      <c r="A113" s="9" t="s">
        <v>1221</v>
      </c>
      <c r="B113" s="17" t="s">
        <v>1222</v>
      </c>
      <c r="C113" s="17" t="s">
        <v>1223</v>
      </c>
      <c r="D113" s="14" t="s">
        <v>28</v>
      </c>
      <c r="E113" s="14" t="s">
        <v>28</v>
      </c>
      <c r="F113" s="18">
        <v>2020</v>
      </c>
      <c r="G113" s="19" t="s">
        <v>80</v>
      </c>
      <c r="H113" s="18"/>
      <c r="I113" s="18">
        <v>349</v>
      </c>
      <c r="J113" s="18"/>
      <c r="K113" s="18">
        <v>1</v>
      </c>
      <c r="L113" s="18">
        <v>96</v>
      </c>
      <c r="M113" s="18">
        <v>95</v>
      </c>
      <c r="N113" s="18">
        <v>7</v>
      </c>
      <c r="O113" s="17" t="s">
        <v>1224</v>
      </c>
      <c r="P113" s="38" t="s">
        <v>1225</v>
      </c>
      <c r="Q113" s="17" t="s">
        <v>1226</v>
      </c>
      <c r="R113" s="17" t="s">
        <v>1227</v>
      </c>
      <c r="S113" s="17" t="s">
        <v>1228</v>
      </c>
      <c r="T113" s="17" t="s">
        <v>1229</v>
      </c>
      <c r="U113" s="5"/>
      <c r="V113" s="19" t="s">
        <v>86</v>
      </c>
      <c r="W113" s="17" t="s">
        <v>38</v>
      </c>
      <c r="X113" s="4" t="s">
        <v>87</v>
      </c>
      <c r="Y113" s="4" t="s">
        <v>170</v>
      </c>
      <c r="Z113" s="2"/>
    </row>
    <row r="114" spans="1:26" ht="19.5" customHeight="1">
      <c r="A114" s="9" t="s">
        <v>1230</v>
      </c>
      <c r="B114" s="17" t="s">
        <v>1231</v>
      </c>
      <c r="C114" s="17" t="s">
        <v>1232</v>
      </c>
      <c r="D114" s="13" t="s">
        <v>723</v>
      </c>
      <c r="E114" s="21" t="s">
        <v>723</v>
      </c>
      <c r="F114" s="18">
        <v>2024</v>
      </c>
      <c r="G114" s="19" t="s">
        <v>1233</v>
      </c>
      <c r="H114" s="18">
        <v>5</v>
      </c>
      <c r="I114" s="18">
        <v>1</v>
      </c>
      <c r="J114" s="18"/>
      <c r="K114" s="18">
        <v>400</v>
      </c>
      <c r="L114" s="18">
        <v>417</v>
      </c>
      <c r="M114" s="18">
        <v>17</v>
      </c>
      <c r="N114" s="18">
        <v>0</v>
      </c>
      <c r="O114" s="17" t="s">
        <v>1234</v>
      </c>
      <c r="P114" s="38" t="s">
        <v>1235</v>
      </c>
      <c r="Q114" s="17" t="s">
        <v>1236</v>
      </c>
      <c r="R114" s="17" t="s">
        <v>1237</v>
      </c>
      <c r="S114" s="17" t="s">
        <v>1238</v>
      </c>
      <c r="T114" s="17" t="s">
        <v>1239</v>
      </c>
      <c r="U114" s="5"/>
      <c r="V114" s="19" t="s">
        <v>1240</v>
      </c>
      <c r="W114" s="17" t="s">
        <v>38</v>
      </c>
      <c r="X114" s="4" t="s">
        <v>1241</v>
      </c>
      <c r="Y114" s="4" t="s">
        <v>40</v>
      </c>
      <c r="Z114" s="2"/>
    </row>
    <row r="115" spans="1:26" ht="19.5" customHeight="1">
      <c r="A115" s="28"/>
      <c r="B115" s="28"/>
      <c r="C115" s="39"/>
      <c r="D115" s="29"/>
      <c r="E115" s="29"/>
      <c r="F115" s="28"/>
      <c r="G115" s="28"/>
      <c r="H115" s="28"/>
      <c r="I115" s="28"/>
      <c r="J115" s="28"/>
      <c r="K115" s="28"/>
      <c r="L115" s="28"/>
      <c r="M115" s="28"/>
      <c r="N115" s="28"/>
      <c r="O115" s="28"/>
      <c r="P115" s="28"/>
      <c r="Q115" s="28"/>
      <c r="R115" s="28"/>
      <c r="S115" s="28"/>
      <c r="T115" s="28"/>
      <c r="U115" s="7"/>
      <c r="V115" s="28"/>
      <c r="W115" s="28"/>
      <c r="X115" s="2"/>
      <c r="Y115" s="2"/>
      <c r="Z115" s="2"/>
    </row>
    <row r="116" spans="1:26" ht="19.5" customHeight="1">
      <c r="A116" s="28"/>
      <c r="B116" s="28"/>
      <c r="C116" s="39" t="s">
        <v>1242</v>
      </c>
      <c r="D116" s="41">
        <f>COUNTIF(D2:D114, "EC1")</f>
        <v>0</v>
      </c>
      <c r="E116" s="41">
        <f>COUNTIF(E2:E114, "EC1")</f>
        <v>0</v>
      </c>
      <c r="F116" s="28"/>
      <c r="G116" s="28"/>
      <c r="H116" s="28"/>
      <c r="I116" s="28"/>
      <c r="J116" s="28"/>
      <c r="K116" s="28"/>
      <c r="L116" s="28"/>
      <c r="M116" s="28"/>
      <c r="N116" s="28"/>
      <c r="O116" s="28"/>
      <c r="P116" s="28"/>
      <c r="Q116" s="28"/>
      <c r="R116" s="28"/>
      <c r="S116" s="28"/>
      <c r="T116" s="28"/>
      <c r="U116" s="7"/>
      <c r="V116" s="28"/>
      <c r="W116" s="28"/>
      <c r="X116" s="2"/>
      <c r="Y116" s="2"/>
      <c r="Z116" s="2"/>
    </row>
    <row r="117" spans="1:26" ht="19.5" customHeight="1">
      <c r="A117" s="28"/>
      <c r="B117" s="28"/>
      <c r="C117" s="39" t="s">
        <v>70</v>
      </c>
      <c r="D117" s="41">
        <f>COUNTIF(D2:D114, "EC2")</f>
        <v>8</v>
      </c>
      <c r="E117" s="41">
        <f>COUNTIF(E2:E114, "EC2")</f>
        <v>9</v>
      </c>
      <c r="F117" s="28"/>
      <c r="G117" s="28"/>
      <c r="H117" s="28"/>
      <c r="I117" s="28"/>
      <c r="J117" s="28"/>
      <c r="K117" s="28"/>
      <c r="L117" s="28"/>
      <c r="M117" s="28"/>
      <c r="N117" s="28"/>
      <c r="O117" s="28"/>
      <c r="P117" s="28"/>
      <c r="Q117" s="28"/>
      <c r="R117" s="28"/>
      <c r="S117" s="28"/>
      <c r="T117" s="28"/>
      <c r="U117" s="7"/>
      <c r="V117" s="28"/>
      <c r="W117" s="28"/>
      <c r="X117" s="2"/>
      <c r="Y117" s="2"/>
      <c r="Z117" s="2"/>
    </row>
    <row r="118" spans="1:26" ht="19.5" customHeight="1">
      <c r="A118" s="28"/>
      <c r="B118" s="28"/>
      <c r="C118" s="39" t="s">
        <v>1243</v>
      </c>
      <c r="D118" s="41">
        <f>COUNTIF(D2:D114, "EC3")</f>
        <v>0</v>
      </c>
      <c r="E118" s="41">
        <f>COUNTIF(E2:E114, "EC3")</f>
        <v>0</v>
      </c>
      <c r="F118" s="28"/>
      <c r="G118" s="28"/>
      <c r="H118" s="28"/>
      <c r="I118" s="28"/>
      <c r="J118" s="28"/>
      <c r="K118" s="28"/>
      <c r="L118" s="28"/>
      <c r="M118" s="28"/>
      <c r="N118" s="28"/>
      <c r="O118" s="28"/>
      <c r="P118" s="28"/>
      <c r="Q118" s="28"/>
      <c r="R118" s="28"/>
      <c r="S118" s="28"/>
      <c r="T118" s="28"/>
      <c r="U118" s="7"/>
      <c r="V118" s="28"/>
      <c r="W118" s="28"/>
      <c r="X118" s="2"/>
      <c r="Y118" s="2"/>
      <c r="Z118" s="2"/>
    </row>
    <row r="119" spans="1:26" ht="19.5" customHeight="1">
      <c r="A119" s="28"/>
      <c r="B119" s="28"/>
      <c r="C119" s="39" t="s">
        <v>456</v>
      </c>
      <c r="D119" s="41">
        <f>COUNTIF(D2:D114, "EC4")</f>
        <v>1</v>
      </c>
      <c r="E119" s="41">
        <f>COUNTIF(E2:E114, "EC4")</f>
        <v>1</v>
      </c>
      <c r="F119" s="28"/>
      <c r="G119" s="28"/>
      <c r="H119" s="28"/>
      <c r="I119" s="28"/>
      <c r="J119" s="28"/>
      <c r="K119" s="28"/>
      <c r="L119" s="28"/>
      <c r="M119" s="28"/>
      <c r="N119" s="28"/>
      <c r="O119" s="28"/>
      <c r="P119" s="28"/>
      <c r="Q119" s="28"/>
      <c r="R119" s="28"/>
      <c r="S119" s="28"/>
      <c r="T119" s="28"/>
      <c r="U119" s="7"/>
      <c r="V119" s="28"/>
      <c r="W119" s="28"/>
      <c r="X119" s="2"/>
      <c r="Y119" s="2"/>
      <c r="Z119" s="2"/>
    </row>
    <row r="120" spans="1:26" ht="19.5" customHeight="1">
      <c r="A120" s="28"/>
      <c r="B120" s="28"/>
      <c r="C120" s="39" t="s">
        <v>723</v>
      </c>
      <c r="D120" s="41">
        <f>COUNTIF(D2:D114, "EC5")</f>
        <v>4</v>
      </c>
      <c r="E120" s="41">
        <f>COUNTIF(E2:E114, "EC5")</f>
        <v>5</v>
      </c>
      <c r="F120" s="28"/>
      <c r="G120" s="28"/>
      <c r="H120" s="28"/>
      <c r="I120" s="28"/>
      <c r="J120" s="28"/>
      <c r="K120" s="28"/>
      <c r="L120" s="28"/>
      <c r="M120" s="28"/>
      <c r="N120" s="28"/>
      <c r="O120" s="28"/>
      <c r="P120" s="28"/>
      <c r="Q120" s="28"/>
      <c r="R120" s="28"/>
      <c r="S120" s="28"/>
      <c r="T120" s="28"/>
      <c r="U120" s="7"/>
      <c r="V120" s="28"/>
      <c r="W120" s="28"/>
      <c r="X120" s="2"/>
      <c r="Y120" s="2"/>
      <c r="Z120" s="2"/>
    </row>
    <row r="121" spans="1:26" ht="19.5" customHeight="1">
      <c r="A121" s="28"/>
      <c r="B121" s="28"/>
      <c r="C121" s="40" t="s">
        <v>195</v>
      </c>
      <c r="D121" s="42">
        <f>COUNTIF(D2:D114, "EC6")</f>
        <v>16</v>
      </c>
      <c r="E121" s="42">
        <f>COUNTIF(E2:E114, "EC6")</f>
        <v>19</v>
      </c>
      <c r="F121" s="28"/>
      <c r="G121" s="28"/>
      <c r="H121" s="28"/>
      <c r="I121" s="28"/>
      <c r="J121" s="28"/>
      <c r="K121" s="28"/>
      <c r="L121" s="28"/>
      <c r="M121" s="28"/>
      <c r="N121" s="28"/>
      <c r="O121" s="28"/>
      <c r="P121" s="28"/>
      <c r="Q121" s="28"/>
      <c r="R121" s="28"/>
      <c r="S121" s="28"/>
      <c r="T121" s="28"/>
      <c r="U121" s="7"/>
      <c r="V121" s="28"/>
      <c r="W121" s="28"/>
      <c r="X121" s="2"/>
      <c r="Y121" s="2"/>
      <c r="Z121" s="2"/>
    </row>
    <row r="122" spans="1:26" ht="19.5" customHeight="1">
      <c r="A122" s="28"/>
      <c r="B122" s="28"/>
      <c r="C122" s="28"/>
      <c r="D122" s="43">
        <f t="shared" ref="D122:E122" si="0">SUM(D117:D121)</f>
        <v>29</v>
      </c>
      <c r="E122" s="43">
        <f t="shared" si="0"/>
        <v>34</v>
      </c>
      <c r="F122" s="28"/>
      <c r="G122" s="28"/>
      <c r="H122" s="28"/>
      <c r="I122" s="28"/>
      <c r="J122" s="28"/>
      <c r="K122" s="28"/>
      <c r="L122" s="28"/>
      <c r="M122" s="28"/>
      <c r="N122" s="28"/>
      <c r="O122" s="28"/>
      <c r="P122" s="28"/>
      <c r="Q122" s="28"/>
      <c r="R122" s="28"/>
      <c r="S122" s="28"/>
      <c r="T122" s="28"/>
      <c r="U122" s="7"/>
      <c r="V122" s="28"/>
      <c r="W122" s="28"/>
      <c r="X122" s="2"/>
      <c r="Y122" s="2"/>
      <c r="Z122" s="2"/>
    </row>
    <row r="123" spans="1:26" ht="19.5" customHeight="1">
      <c r="A123" s="9" t="s">
        <v>0</v>
      </c>
      <c r="B123" s="9" t="s">
        <v>1</v>
      </c>
      <c r="C123" s="9" t="s">
        <v>2</v>
      </c>
      <c r="D123" s="10" t="s">
        <v>3</v>
      </c>
      <c r="E123" s="10" t="s">
        <v>4</v>
      </c>
      <c r="F123" s="9" t="s">
        <v>5</v>
      </c>
      <c r="G123" s="9" t="s">
        <v>6</v>
      </c>
      <c r="H123" s="9" t="s">
        <v>7</v>
      </c>
      <c r="I123" s="9" t="s">
        <v>8</v>
      </c>
      <c r="J123" s="9" t="s">
        <v>9</v>
      </c>
      <c r="K123" s="9" t="s">
        <v>10</v>
      </c>
      <c r="L123" s="9" t="s">
        <v>11</v>
      </c>
      <c r="M123" s="9" t="s">
        <v>12</v>
      </c>
      <c r="N123" s="9" t="s">
        <v>13</v>
      </c>
      <c r="O123" s="9" t="s">
        <v>14</v>
      </c>
      <c r="P123" s="9" t="s">
        <v>15</v>
      </c>
      <c r="Q123" s="9" t="s">
        <v>16</v>
      </c>
      <c r="R123" s="11" t="s">
        <v>17</v>
      </c>
      <c r="S123" s="11" t="s">
        <v>18</v>
      </c>
      <c r="T123" s="11" t="s">
        <v>19</v>
      </c>
      <c r="U123" s="12" t="s">
        <v>20</v>
      </c>
      <c r="V123" s="11" t="s">
        <v>21</v>
      </c>
      <c r="W123" s="11" t="s">
        <v>22</v>
      </c>
      <c r="X123" s="1" t="s">
        <v>23</v>
      </c>
      <c r="Y123" s="1" t="s">
        <v>24</v>
      </c>
      <c r="Z123" s="2"/>
    </row>
    <row r="124" spans="1:26" s="8" customFormat="1" ht="13.2">
      <c r="A124" s="31" t="s">
        <v>1244</v>
      </c>
      <c r="B124" s="31" t="s">
        <v>1245</v>
      </c>
      <c r="C124" s="32" t="s">
        <v>1246</v>
      </c>
      <c r="D124" s="14" t="s">
        <v>28</v>
      </c>
      <c r="E124" s="14" t="s">
        <v>28</v>
      </c>
      <c r="F124" s="31" t="s">
        <v>1247</v>
      </c>
      <c r="G124" s="31" t="s">
        <v>1248</v>
      </c>
      <c r="H124" s="31" t="s">
        <v>1249</v>
      </c>
      <c r="I124" s="31" t="s">
        <v>1250</v>
      </c>
      <c r="J124" s="31"/>
      <c r="K124" s="31" t="s">
        <v>1251</v>
      </c>
      <c r="L124" s="31" t="s">
        <v>1252</v>
      </c>
      <c r="M124" s="31"/>
      <c r="N124" s="31" t="s">
        <v>1253</v>
      </c>
      <c r="O124" s="31" t="s">
        <v>1254</v>
      </c>
      <c r="P124" s="34" t="s">
        <v>1255</v>
      </c>
      <c r="Q124" s="31" t="s">
        <v>1256</v>
      </c>
      <c r="R124" s="31" t="s">
        <v>1257</v>
      </c>
      <c r="S124" s="31" t="s">
        <v>1258</v>
      </c>
      <c r="T124" s="31" t="s">
        <v>1259</v>
      </c>
      <c r="U124" s="31"/>
      <c r="V124" s="31" t="s">
        <v>1260</v>
      </c>
      <c r="W124" s="31" t="s">
        <v>38</v>
      </c>
      <c r="X124" s="31" t="s">
        <v>1261</v>
      </c>
      <c r="Y124" s="31" t="s">
        <v>40</v>
      </c>
    </row>
    <row r="125" spans="1:26" s="52" customFormat="1" ht="13.2">
      <c r="A125" s="48" t="s">
        <v>1262</v>
      </c>
      <c r="B125" s="48" t="s">
        <v>1263</v>
      </c>
      <c r="C125" s="49" t="s">
        <v>1167</v>
      </c>
      <c r="D125" s="50" t="s">
        <v>28</v>
      </c>
      <c r="E125" s="50" t="s">
        <v>28</v>
      </c>
      <c r="F125" s="48" t="s">
        <v>1247</v>
      </c>
      <c r="G125" s="48" t="s">
        <v>1175</v>
      </c>
      <c r="H125" s="48" t="s">
        <v>1264</v>
      </c>
      <c r="I125" s="48" t="s">
        <v>1265</v>
      </c>
      <c r="J125" s="48" t="s">
        <v>1266</v>
      </c>
      <c r="K125" s="48"/>
      <c r="L125" s="48"/>
      <c r="M125" s="48"/>
      <c r="N125" s="48" t="s">
        <v>1250</v>
      </c>
      <c r="O125" s="48" t="s">
        <v>1168</v>
      </c>
      <c r="P125" s="51" t="s">
        <v>1267</v>
      </c>
      <c r="Q125" s="48" t="s">
        <v>1268</v>
      </c>
      <c r="R125" s="48" t="s">
        <v>1269</v>
      </c>
      <c r="S125" s="48" t="s">
        <v>1270</v>
      </c>
      <c r="T125" s="48" t="s">
        <v>1173</v>
      </c>
      <c r="U125" s="48" t="s">
        <v>1271</v>
      </c>
      <c r="V125" s="48" t="s">
        <v>1272</v>
      </c>
      <c r="W125" s="48" t="s">
        <v>38</v>
      </c>
      <c r="X125" s="48" t="s">
        <v>1175</v>
      </c>
      <c r="Y125" s="48" t="s">
        <v>40</v>
      </c>
    </row>
    <row r="126" spans="1:26" s="52" customFormat="1" ht="13.2">
      <c r="A126" s="48" t="s">
        <v>1273</v>
      </c>
      <c r="B126" s="48" t="s">
        <v>1274</v>
      </c>
      <c r="C126" s="49" t="s">
        <v>1275</v>
      </c>
      <c r="D126" s="50" t="s">
        <v>28</v>
      </c>
      <c r="E126" s="50" t="s">
        <v>28</v>
      </c>
      <c r="F126" s="48" t="s">
        <v>1247</v>
      </c>
      <c r="G126" s="48" t="s">
        <v>1276</v>
      </c>
      <c r="H126" s="48" t="s">
        <v>1277</v>
      </c>
      <c r="I126" s="48" t="s">
        <v>1278</v>
      </c>
      <c r="J126" s="48"/>
      <c r="K126" s="48" t="s">
        <v>1279</v>
      </c>
      <c r="L126" s="48" t="s">
        <v>1280</v>
      </c>
      <c r="M126" s="48"/>
      <c r="N126" s="48" t="s">
        <v>1281</v>
      </c>
      <c r="O126" s="48" t="s">
        <v>1282</v>
      </c>
      <c r="P126" s="51" t="s">
        <v>1283</v>
      </c>
      <c r="Q126" s="53" t="s">
        <v>1284</v>
      </c>
      <c r="R126" s="48" t="s">
        <v>1285</v>
      </c>
      <c r="S126" s="48" t="s">
        <v>1286</v>
      </c>
      <c r="T126" s="48" t="s">
        <v>1287</v>
      </c>
      <c r="U126" s="48"/>
      <c r="V126" s="48" t="s">
        <v>1288</v>
      </c>
      <c r="W126" s="48" t="s">
        <v>38</v>
      </c>
      <c r="X126" s="48" t="s">
        <v>182</v>
      </c>
      <c r="Y126" s="48" t="s">
        <v>40</v>
      </c>
    </row>
    <row r="127" spans="1:26" s="52" customFormat="1" ht="13.2">
      <c r="A127" s="48" t="s">
        <v>1289</v>
      </c>
      <c r="B127" s="48" t="s">
        <v>1290</v>
      </c>
      <c r="C127" s="49" t="s">
        <v>1291</v>
      </c>
      <c r="D127" s="50" t="s">
        <v>28</v>
      </c>
      <c r="E127" s="50" t="s">
        <v>28</v>
      </c>
      <c r="F127" s="48" t="s">
        <v>1247</v>
      </c>
      <c r="G127" s="48" t="s">
        <v>1292</v>
      </c>
      <c r="H127" s="48"/>
      <c r="I127" s="48"/>
      <c r="J127" s="48"/>
      <c r="K127" s="48"/>
      <c r="L127" s="48"/>
      <c r="M127" s="48"/>
      <c r="N127" s="48" t="s">
        <v>1253</v>
      </c>
      <c r="O127" s="48" t="s">
        <v>1293</v>
      </c>
      <c r="P127" s="51" t="s">
        <v>1294</v>
      </c>
      <c r="Q127" s="54" t="s">
        <v>1295</v>
      </c>
      <c r="R127" s="53" t="s">
        <v>1296</v>
      </c>
      <c r="S127" s="48" t="s">
        <v>1297</v>
      </c>
      <c r="T127" s="48" t="s">
        <v>1298</v>
      </c>
      <c r="U127" s="48"/>
      <c r="V127" s="48" t="s">
        <v>1299</v>
      </c>
      <c r="W127" s="48" t="s">
        <v>38</v>
      </c>
      <c r="X127" s="48" t="s">
        <v>244</v>
      </c>
      <c r="Y127" s="48" t="s">
        <v>40</v>
      </c>
    </row>
    <row r="128" spans="1:26" s="52" customFormat="1" ht="13.2">
      <c r="A128" s="48" t="s">
        <v>1300</v>
      </c>
      <c r="B128" s="53" t="s">
        <v>1301</v>
      </c>
      <c r="C128" s="49" t="s">
        <v>645</v>
      </c>
      <c r="D128" s="55" t="s">
        <v>195</v>
      </c>
      <c r="E128" s="55" t="s">
        <v>195</v>
      </c>
      <c r="F128" s="48" t="s">
        <v>1247</v>
      </c>
      <c r="G128" s="48" t="s">
        <v>1302</v>
      </c>
      <c r="H128" s="48" t="s">
        <v>1303</v>
      </c>
      <c r="I128" s="48" t="s">
        <v>1253</v>
      </c>
      <c r="J128" s="48"/>
      <c r="K128" s="48" t="s">
        <v>1253</v>
      </c>
      <c r="L128" s="48" t="s">
        <v>1304</v>
      </c>
      <c r="M128" s="48"/>
      <c r="N128" s="48" t="s">
        <v>1281</v>
      </c>
      <c r="O128" s="48" t="s">
        <v>647</v>
      </c>
      <c r="P128" s="51" t="s">
        <v>1305</v>
      </c>
      <c r="Q128" s="54" t="s">
        <v>1306</v>
      </c>
      <c r="R128" s="54" t="s">
        <v>1307</v>
      </c>
      <c r="S128" s="48" t="s">
        <v>1308</v>
      </c>
      <c r="T128" s="48" t="s">
        <v>652</v>
      </c>
      <c r="U128" s="48" t="s">
        <v>1309</v>
      </c>
      <c r="V128" s="48" t="s">
        <v>1310</v>
      </c>
      <c r="W128" s="48" t="s">
        <v>38</v>
      </c>
      <c r="X128" s="48" t="s">
        <v>655</v>
      </c>
      <c r="Y128" s="48" t="s">
        <v>40</v>
      </c>
    </row>
    <row r="129" spans="1:25" s="52" customFormat="1" ht="13.2">
      <c r="A129" s="48" t="s">
        <v>1311</v>
      </c>
      <c r="B129" s="54" t="s">
        <v>1312</v>
      </c>
      <c r="C129" s="49" t="s">
        <v>1313</v>
      </c>
      <c r="D129" s="50" t="s">
        <v>28</v>
      </c>
      <c r="E129" s="50" t="s">
        <v>28</v>
      </c>
      <c r="F129" s="48" t="s">
        <v>1247</v>
      </c>
      <c r="G129" s="48" t="s">
        <v>1314</v>
      </c>
      <c r="H129" s="48" t="s">
        <v>1315</v>
      </c>
      <c r="I129" s="48" t="s">
        <v>1316</v>
      </c>
      <c r="J129" s="48" t="s">
        <v>1317</v>
      </c>
      <c r="K129" s="48"/>
      <c r="L129" s="48"/>
      <c r="M129" s="48"/>
      <c r="N129" s="48" t="s">
        <v>1281</v>
      </c>
      <c r="O129" s="48" t="s">
        <v>1318</v>
      </c>
      <c r="P129" s="51" t="s">
        <v>1319</v>
      </c>
      <c r="Q129" s="54" t="s">
        <v>1320</v>
      </c>
      <c r="R129" s="54" t="s">
        <v>1321</v>
      </c>
      <c r="S129" s="48" t="s">
        <v>1322</v>
      </c>
      <c r="T129" s="48" t="s">
        <v>1323</v>
      </c>
      <c r="U129" s="48"/>
      <c r="V129" s="48" t="s">
        <v>1272</v>
      </c>
      <c r="W129" s="48" t="s">
        <v>38</v>
      </c>
      <c r="X129" s="48" t="s">
        <v>1324</v>
      </c>
      <c r="Y129" s="48" t="s">
        <v>40</v>
      </c>
    </row>
    <row r="130" spans="1:25" s="52" customFormat="1" ht="13.2">
      <c r="A130" s="48" t="s">
        <v>1325</v>
      </c>
      <c r="B130" s="54" t="s">
        <v>1326</v>
      </c>
      <c r="C130" s="49" t="s">
        <v>1327</v>
      </c>
      <c r="D130" s="55" t="s">
        <v>195</v>
      </c>
      <c r="E130" s="55" t="s">
        <v>195</v>
      </c>
      <c r="F130" s="48" t="s">
        <v>1247</v>
      </c>
      <c r="G130" s="48" t="s">
        <v>1328</v>
      </c>
      <c r="H130" s="48"/>
      <c r="I130" s="48"/>
      <c r="J130" s="48"/>
      <c r="K130" s="48"/>
      <c r="L130" s="48"/>
      <c r="M130" s="48"/>
      <c r="N130" s="48" t="s">
        <v>1253</v>
      </c>
      <c r="O130" s="48" t="s">
        <v>1329</v>
      </c>
      <c r="P130" s="51" t="s">
        <v>1330</v>
      </c>
      <c r="Q130" s="54" t="s">
        <v>1331</v>
      </c>
      <c r="R130" s="54" t="s">
        <v>1332</v>
      </c>
      <c r="S130" s="48" t="s">
        <v>1333</v>
      </c>
      <c r="T130" s="48" t="s">
        <v>1334</v>
      </c>
      <c r="U130" s="48"/>
      <c r="V130" s="48" t="s">
        <v>1335</v>
      </c>
      <c r="W130" s="48" t="s">
        <v>38</v>
      </c>
      <c r="X130" s="48" t="s">
        <v>123</v>
      </c>
      <c r="Y130" s="48" t="s">
        <v>40</v>
      </c>
    </row>
    <row r="131" spans="1:25" s="52" customFormat="1" ht="13.2">
      <c r="A131" s="48" t="s">
        <v>1336</v>
      </c>
      <c r="B131" s="54" t="s">
        <v>1337</v>
      </c>
      <c r="C131" s="49" t="s">
        <v>1338</v>
      </c>
      <c r="D131" s="55" t="s">
        <v>195</v>
      </c>
      <c r="E131" s="55" t="s">
        <v>195</v>
      </c>
      <c r="F131" s="48" t="s">
        <v>1247</v>
      </c>
      <c r="G131" s="48" t="s">
        <v>1339</v>
      </c>
      <c r="H131" s="48" t="s">
        <v>1340</v>
      </c>
      <c r="I131" s="48" t="s">
        <v>1341</v>
      </c>
      <c r="J131" s="48" t="s">
        <v>1342</v>
      </c>
      <c r="K131" s="48"/>
      <c r="L131" s="48"/>
      <c r="M131" s="48"/>
      <c r="N131" s="48" t="s">
        <v>1281</v>
      </c>
      <c r="O131" s="48" t="s">
        <v>1343</v>
      </c>
      <c r="P131" s="51" t="s">
        <v>1344</v>
      </c>
      <c r="Q131" s="54" t="s">
        <v>1345</v>
      </c>
      <c r="R131" s="54" t="s">
        <v>1346</v>
      </c>
      <c r="S131" s="48" t="s">
        <v>1347</v>
      </c>
      <c r="T131" s="48" t="s">
        <v>1348</v>
      </c>
      <c r="U131" s="48" t="s">
        <v>1349</v>
      </c>
      <c r="V131" s="48" t="s">
        <v>1272</v>
      </c>
      <c r="W131" s="48" t="s">
        <v>38</v>
      </c>
      <c r="X131" s="48" t="s">
        <v>719</v>
      </c>
      <c r="Y131" s="48" t="s">
        <v>40</v>
      </c>
    </row>
    <row r="132" spans="1:25" s="52" customFormat="1" ht="13.2">
      <c r="A132" s="48" t="s">
        <v>1350</v>
      </c>
      <c r="B132" s="54" t="s">
        <v>1351</v>
      </c>
      <c r="C132" s="49" t="s">
        <v>1352</v>
      </c>
      <c r="D132" s="55" t="s">
        <v>195</v>
      </c>
      <c r="E132" s="55" t="s">
        <v>195</v>
      </c>
      <c r="F132" s="48" t="s">
        <v>1247</v>
      </c>
      <c r="G132" s="48" t="s">
        <v>1292</v>
      </c>
      <c r="H132" s="48"/>
      <c r="I132" s="48"/>
      <c r="J132" s="48"/>
      <c r="K132" s="48"/>
      <c r="L132" s="48"/>
      <c r="M132" s="48"/>
      <c r="N132" s="48" t="s">
        <v>1281</v>
      </c>
      <c r="O132" s="48" t="s">
        <v>1353</v>
      </c>
      <c r="P132" s="51" t="s">
        <v>1354</v>
      </c>
      <c r="Q132" s="54" t="s">
        <v>1355</v>
      </c>
      <c r="R132" s="54" t="s">
        <v>1356</v>
      </c>
      <c r="S132" s="48" t="s">
        <v>1357</v>
      </c>
      <c r="T132" s="48" t="s">
        <v>1358</v>
      </c>
      <c r="U132" s="48"/>
      <c r="V132" s="48" t="s">
        <v>1299</v>
      </c>
      <c r="W132" s="48" t="s">
        <v>38</v>
      </c>
      <c r="X132" s="48" t="s">
        <v>244</v>
      </c>
      <c r="Y132" s="48" t="s">
        <v>40</v>
      </c>
    </row>
    <row r="133" spans="1:25" s="52" customFormat="1" ht="13.2">
      <c r="A133" s="48" t="s">
        <v>1359</v>
      </c>
      <c r="B133" s="54" t="s">
        <v>1360</v>
      </c>
      <c r="C133" s="49" t="s">
        <v>1361</v>
      </c>
      <c r="D133" s="55" t="s">
        <v>195</v>
      </c>
      <c r="E133" s="55" t="s">
        <v>195</v>
      </c>
      <c r="F133" s="48" t="s">
        <v>1247</v>
      </c>
      <c r="G133" s="48" t="s">
        <v>1362</v>
      </c>
      <c r="H133" s="48" t="s">
        <v>1363</v>
      </c>
      <c r="I133" s="48"/>
      <c r="J133" s="48" t="s">
        <v>1364</v>
      </c>
      <c r="K133" s="48"/>
      <c r="L133" s="48"/>
      <c r="M133" s="48"/>
      <c r="N133" s="48" t="s">
        <v>1365</v>
      </c>
      <c r="O133" s="48" t="s">
        <v>1366</v>
      </c>
      <c r="P133" s="51" t="s">
        <v>1367</v>
      </c>
      <c r="Q133" s="54" t="s">
        <v>1368</v>
      </c>
      <c r="R133" s="54" t="s">
        <v>1369</v>
      </c>
      <c r="S133" s="48" t="s">
        <v>1370</v>
      </c>
      <c r="T133" s="48" t="s">
        <v>1371</v>
      </c>
      <c r="U133" s="48" t="s">
        <v>1372</v>
      </c>
      <c r="V133" s="48" t="s">
        <v>1373</v>
      </c>
      <c r="W133" s="48" t="s">
        <v>38</v>
      </c>
      <c r="X133" s="48" t="s">
        <v>1374</v>
      </c>
      <c r="Y133" s="48" t="s">
        <v>40</v>
      </c>
    </row>
    <row r="134" spans="1:25" s="52" customFormat="1" ht="13.2">
      <c r="A134" s="48" t="s">
        <v>1375</v>
      </c>
      <c r="B134" s="54" t="s">
        <v>1376</v>
      </c>
      <c r="C134" s="49" t="s">
        <v>1377</v>
      </c>
      <c r="D134" s="50" t="s">
        <v>28</v>
      </c>
      <c r="E134" s="50" t="s">
        <v>28</v>
      </c>
      <c r="F134" s="48" t="s">
        <v>1247</v>
      </c>
      <c r="G134" s="48" t="s">
        <v>1378</v>
      </c>
      <c r="H134" s="48"/>
      <c r="I134" s="48"/>
      <c r="J134" s="48"/>
      <c r="K134" s="48"/>
      <c r="L134" s="48"/>
      <c r="M134" s="48"/>
      <c r="N134" s="48" t="s">
        <v>1281</v>
      </c>
      <c r="O134" s="48" t="s">
        <v>1379</v>
      </c>
      <c r="P134" s="51" t="s">
        <v>1380</v>
      </c>
      <c r="Q134" s="54" t="s">
        <v>1381</v>
      </c>
      <c r="R134" s="54" t="s">
        <v>1382</v>
      </c>
      <c r="S134" s="48" t="s">
        <v>1383</v>
      </c>
      <c r="T134" s="48" t="s">
        <v>1384</v>
      </c>
      <c r="U134" s="48"/>
      <c r="V134" s="48" t="s">
        <v>1385</v>
      </c>
      <c r="W134" s="48" t="s">
        <v>38</v>
      </c>
      <c r="X134" s="48" t="s">
        <v>902</v>
      </c>
      <c r="Y134" s="48" t="s">
        <v>40</v>
      </c>
    </row>
    <row r="135" spans="1:25" s="52" customFormat="1" ht="13.2">
      <c r="A135" s="48" t="s">
        <v>1386</v>
      </c>
      <c r="B135" s="54" t="s">
        <v>1387</v>
      </c>
      <c r="C135" s="49" t="s">
        <v>1388</v>
      </c>
      <c r="D135" s="55" t="s">
        <v>195</v>
      </c>
      <c r="E135" s="55" t="s">
        <v>195</v>
      </c>
      <c r="F135" s="48" t="s">
        <v>1247</v>
      </c>
      <c r="G135" s="48" t="s">
        <v>1389</v>
      </c>
      <c r="H135" s="48"/>
      <c r="I135" s="48"/>
      <c r="J135" s="48"/>
      <c r="K135" s="48"/>
      <c r="L135" s="48"/>
      <c r="M135" s="48"/>
      <c r="N135" s="48" t="s">
        <v>1281</v>
      </c>
      <c r="O135" s="48" t="s">
        <v>1390</v>
      </c>
      <c r="P135" s="51" t="s">
        <v>1391</v>
      </c>
      <c r="Q135" s="54" t="s">
        <v>1392</v>
      </c>
      <c r="R135" s="54" t="s">
        <v>1393</v>
      </c>
      <c r="S135" s="48" t="s">
        <v>1394</v>
      </c>
      <c r="T135" s="48" t="s">
        <v>1395</v>
      </c>
      <c r="U135" s="48"/>
      <c r="V135" s="48" t="s">
        <v>1396</v>
      </c>
      <c r="W135" s="48" t="s">
        <v>38</v>
      </c>
      <c r="X135" s="48" t="s">
        <v>148</v>
      </c>
      <c r="Y135" s="48" t="s">
        <v>40</v>
      </c>
    </row>
    <row r="136" spans="1:25" s="52" customFormat="1" ht="13.2">
      <c r="A136" s="48" t="s">
        <v>1397</v>
      </c>
      <c r="B136" s="54" t="s">
        <v>1398</v>
      </c>
      <c r="C136" s="49" t="s">
        <v>1399</v>
      </c>
      <c r="D136" s="55" t="s">
        <v>195</v>
      </c>
      <c r="E136" s="55" t="s">
        <v>195</v>
      </c>
      <c r="F136" s="48" t="s">
        <v>1247</v>
      </c>
      <c r="G136" s="48" t="s">
        <v>1339</v>
      </c>
      <c r="H136" s="48" t="s">
        <v>1340</v>
      </c>
      <c r="I136" s="48" t="s">
        <v>1400</v>
      </c>
      <c r="J136" s="48" t="s">
        <v>1401</v>
      </c>
      <c r="K136" s="48"/>
      <c r="L136" s="48"/>
      <c r="M136" s="48"/>
      <c r="N136" s="48" t="s">
        <v>1281</v>
      </c>
      <c r="O136" s="48" t="s">
        <v>1402</v>
      </c>
      <c r="P136" s="51" t="s">
        <v>1403</v>
      </c>
      <c r="Q136" s="54" t="s">
        <v>1404</v>
      </c>
      <c r="R136" s="54" t="s">
        <v>1405</v>
      </c>
      <c r="S136" s="48" t="s">
        <v>1406</v>
      </c>
      <c r="T136" s="48" t="s">
        <v>1407</v>
      </c>
      <c r="U136" s="48" t="s">
        <v>1408</v>
      </c>
      <c r="V136" s="48" t="s">
        <v>1272</v>
      </c>
      <c r="W136" s="48" t="s">
        <v>38</v>
      </c>
      <c r="X136" s="48" t="s">
        <v>719</v>
      </c>
      <c r="Y136" s="48" t="s">
        <v>170</v>
      </c>
    </row>
    <row r="137" spans="1:25" s="52" customFormat="1" ht="13.2">
      <c r="A137" s="48" t="s">
        <v>1409</v>
      </c>
      <c r="B137" s="54" t="s">
        <v>1410</v>
      </c>
      <c r="C137" s="49" t="s">
        <v>272</v>
      </c>
      <c r="D137" s="50" t="s">
        <v>28</v>
      </c>
      <c r="E137" s="50" t="s">
        <v>28</v>
      </c>
      <c r="F137" s="48" t="s">
        <v>1247</v>
      </c>
      <c r="G137" s="48" t="s">
        <v>1292</v>
      </c>
      <c r="H137" s="48"/>
      <c r="I137" s="48"/>
      <c r="J137" s="48"/>
      <c r="K137" s="48"/>
      <c r="L137" s="48"/>
      <c r="M137" s="48"/>
      <c r="N137" s="48" t="s">
        <v>1253</v>
      </c>
      <c r="O137" s="48" t="s">
        <v>273</v>
      </c>
      <c r="P137" s="51" t="s">
        <v>1411</v>
      </c>
      <c r="Q137" s="54" t="s">
        <v>1412</v>
      </c>
      <c r="R137" s="54" t="s">
        <v>1413</v>
      </c>
      <c r="S137" s="48" t="s">
        <v>1414</v>
      </c>
      <c r="T137" s="48" t="s">
        <v>278</v>
      </c>
      <c r="U137" s="48"/>
      <c r="V137" s="48" t="s">
        <v>1299</v>
      </c>
      <c r="W137" s="48" t="s">
        <v>38</v>
      </c>
      <c r="X137" s="48" t="s">
        <v>244</v>
      </c>
      <c r="Y137" s="48" t="s">
        <v>40</v>
      </c>
    </row>
    <row r="138" spans="1:25" s="52" customFormat="1" ht="13.2">
      <c r="A138" s="48" t="s">
        <v>1415</v>
      </c>
      <c r="B138" s="54" t="s">
        <v>1416</v>
      </c>
      <c r="C138" s="49" t="s">
        <v>1417</v>
      </c>
      <c r="D138" s="55" t="s">
        <v>723</v>
      </c>
      <c r="E138" s="55" t="s">
        <v>723</v>
      </c>
      <c r="F138" s="48" t="s">
        <v>1247</v>
      </c>
      <c r="G138" s="48" t="s">
        <v>1418</v>
      </c>
      <c r="H138" s="48" t="s">
        <v>1419</v>
      </c>
      <c r="I138" s="48" t="s">
        <v>1365</v>
      </c>
      <c r="J138" s="48" t="s">
        <v>1420</v>
      </c>
      <c r="K138" s="48"/>
      <c r="L138" s="48"/>
      <c r="M138" s="48"/>
      <c r="N138" s="48" t="s">
        <v>1365</v>
      </c>
      <c r="O138" s="48" t="s">
        <v>1421</v>
      </c>
      <c r="P138" s="51" t="s">
        <v>1422</v>
      </c>
      <c r="Q138" s="54" t="s">
        <v>1423</v>
      </c>
      <c r="R138" s="54" t="s">
        <v>1424</v>
      </c>
      <c r="S138" s="48" t="s">
        <v>1425</v>
      </c>
      <c r="T138" s="48" t="s">
        <v>1426</v>
      </c>
      <c r="V138" s="48" t="s">
        <v>1427</v>
      </c>
      <c r="W138" s="48" t="s">
        <v>38</v>
      </c>
      <c r="X138" s="48" t="s">
        <v>1428</v>
      </c>
      <c r="Y138" s="48" t="s">
        <v>40</v>
      </c>
    </row>
    <row r="139" spans="1:25" s="52" customFormat="1" ht="13.2">
      <c r="A139" s="48" t="s">
        <v>1429</v>
      </c>
      <c r="B139" s="54" t="s">
        <v>1430</v>
      </c>
      <c r="C139" s="49" t="s">
        <v>1431</v>
      </c>
      <c r="D139" s="55" t="s">
        <v>723</v>
      </c>
      <c r="E139" s="55" t="s">
        <v>723</v>
      </c>
      <c r="F139" s="48" t="s">
        <v>1247</v>
      </c>
      <c r="G139" s="48" t="s">
        <v>1432</v>
      </c>
      <c r="H139" s="48"/>
      <c r="I139" s="48"/>
      <c r="J139" s="48"/>
      <c r="K139" s="48" t="s">
        <v>1253</v>
      </c>
      <c r="L139" s="48" t="s">
        <v>1433</v>
      </c>
      <c r="M139" s="48"/>
      <c r="N139" s="48" t="s">
        <v>1281</v>
      </c>
      <c r="O139" s="48" t="s">
        <v>1434</v>
      </c>
      <c r="P139" s="51" t="s">
        <v>1435</v>
      </c>
      <c r="Q139" s="54" t="s">
        <v>1436</v>
      </c>
      <c r="R139" s="54" t="s">
        <v>1437</v>
      </c>
      <c r="S139" s="48" t="s">
        <v>1438</v>
      </c>
      <c r="T139" s="48" t="s">
        <v>1439</v>
      </c>
      <c r="U139" s="48" t="s">
        <v>1440</v>
      </c>
      <c r="V139" s="48" t="s">
        <v>1299</v>
      </c>
      <c r="W139" s="48" t="s">
        <v>38</v>
      </c>
      <c r="X139" s="48" t="s">
        <v>1441</v>
      </c>
      <c r="Y139" s="48" t="s">
        <v>40</v>
      </c>
    </row>
    <row r="140" spans="1:25" s="52" customFormat="1" ht="13.2">
      <c r="A140" s="48" t="s">
        <v>1442</v>
      </c>
      <c r="B140" s="54" t="s">
        <v>1443</v>
      </c>
      <c r="C140" s="49" t="s">
        <v>1444</v>
      </c>
      <c r="D140" s="50" t="s">
        <v>28</v>
      </c>
      <c r="E140" s="50" t="s">
        <v>28</v>
      </c>
      <c r="F140" s="48" t="s">
        <v>1247</v>
      </c>
      <c r="G140" s="48" t="s">
        <v>1362</v>
      </c>
      <c r="H140" s="48" t="s">
        <v>1445</v>
      </c>
      <c r="I140" s="48"/>
      <c r="J140" s="48" t="s">
        <v>1446</v>
      </c>
      <c r="K140" s="48"/>
      <c r="L140" s="48"/>
      <c r="M140" s="48"/>
      <c r="N140" s="48" t="s">
        <v>1281</v>
      </c>
      <c r="O140" s="48" t="s">
        <v>1447</v>
      </c>
      <c r="P140" s="51" t="s">
        <v>1448</v>
      </c>
      <c r="Q140" s="54" t="s">
        <v>1449</v>
      </c>
      <c r="R140" s="54" t="s">
        <v>1450</v>
      </c>
      <c r="S140" s="48" t="s">
        <v>1451</v>
      </c>
      <c r="T140" s="48" t="s">
        <v>1452</v>
      </c>
      <c r="U140" s="48" t="s">
        <v>1453</v>
      </c>
      <c r="V140" s="48" t="s">
        <v>1373</v>
      </c>
      <c r="W140" s="48" t="s">
        <v>38</v>
      </c>
      <c r="X140" s="48" t="s">
        <v>1374</v>
      </c>
      <c r="Y140" s="48" t="s">
        <v>40</v>
      </c>
    </row>
    <row r="141" spans="1:25" s="52" customFormat="1" ht="13.2">
      <c r="A141" s="48" t="s">
        <v>1454</v>
      </c>
      <c r="B141" s="54" t="s">
        <v>1455</v>
      </c>
      <c r="C141" s="49" t="s">
        <v>1456</v>
      </c>
      <c r="D141" s="50" t="s">
        <v>28</v>
      </c>
      <c r="E141" s="50" t="s">
        <v>28</v>
      </c>
      <c r="F141" s="48" t="s">
        <v>1247</v>
      </c>
      <c r="G141" s="48" t="s">
        <v>1457</v>
      </c>
      <c r="H141" s="48" t="s">
        <v>1458</v>
      </c>
      <c r="I141" s="48" t="s">
        <v>1459</v>
      </c>
      <c r="J141" s="48" t="s">
        <v>1460</v>
      </c>
      <c r="K141" s="48"/>
      <c r="L141" s="48"/>
      <c r="M141" s="48"/>
      <c r="N141" s="48" t="s">
        <v>1281</v>
      </c>
      <c r="O141" s="48" t="s">
        <v>1461</v>
      </c>
      <c r="P141" s="51" t="s">
        <v>1462</v>
      </c>
      <c r="Q141" s="54" t="s">
        <v>1463</v>
      </c>
      <c r="R141" s="54" t="s">
        <v>1464</v>
      </c>
      <c r="S141" s="48" t="s">
        <v>1465</v>
      </c>
      <c r="T141" s="48" t="s">
        <v>1466</v>
      </c>
      <c r="V141" s="48" t="s">
        <v>1467</v>
      </c>
      <c r="W141" s="48" t="s">
        <v>38</v>
      </c>
      <c r="X141" s="48" t="s">
        <v>1468</v>
      </c>
      <c r="Y141" s="48" t="s">
        <v>40</v>
      </c>
    </row>
    <row r="142" spans="1:25" s="52" customFormat="1" ht="13.2">
      <c r="A142" s="48" t="s">
        <v>1469</v>
      </c>
      <c r="B142" s="54" t="s">
        <v>1470</v>
      </c>
      <c r="C142" s="49" t="s">
        <v>1471</v>
      </c>
      <c r="D142" s="50" t="s">
        <v>28</v>
      </c>
      <c r="E142" s="50" t="s">
        <v>28</v>
      </c>
      <c r="F142" s="48" t="s">
        <v>1247</v>
      </c>
      <c r="G142" s="48" t="s">
        <v>1472</v>
      </c>
      <c r="H142" s="48" t="s">
        <v>1473</v>
      </c>
      <c r="I142" s="48" t="s">
        <v>1278</v>
      </c>
      <c r="J142" s="48"/>
      <c r="K142" s="48" t="s">
        <v>1474</v>
      </c>
      <c r="L142" s="48" t="s">
        <v>1475</v>
      </c>
      <c r="M142" s="48"/>
      <c r="N142" s="48" t="s">
        <v>1253</v>
      </c>
      <c r="O142" s="48" t="s">
        <v>1476</v>
      </c>
      <c r="P142" s="51" t="s">
        <v>1477</v>
      </c>
      <c r="Q142" s="54" t="s">
        <v>1478</v>
      </c>
      <c r="R142" s="54" t="s">
        <v>1479</v>
      </c>
      <c r="S142" s="48" t="s">
        <v>1480</v>
      </c>
      <c r="T142" s="48" t="s">
        <v>1481</v>
      </c>
      <c r="U142" s="48" t="s">
        <v>1482</v>
      </c>
      <c r="V142" s="48" t="s">
        <v>1335</v>
      </c>
      <c r="W142" s="48" t="s">
        <v>38</v>
      </c>
      <c r="X142" s="48" t="s">
        <v>566</v>
      </c>
      <c r="Y142" s="48" t="s">
        <v>40</v>
      </c>
    </row>
    <row r="143" spans="1:25" s="52" customFormat="1" ht="13.2">
      <c r="A143" s="48" t="s">
        <v>1483</v>
      </c>
      <c r="B143" s="54" t="s">
        <v>1484</v>
      </c>
      <c r="C143" s="56" t="s">
        <v>1485</v>
      </c>
      <c r="D143" s="50" t="s">
        <v>28</v>
      </c>
      <c r="E143" s="50" t="s">
        <v>28</v>
      </c>
      <c r="F143" s="48" t="s">
        <v>1247</v>
      </c>
      <c r="G143" s="48" t="s">
        <v>1486</v>
      </c>
      <c r="H143" s="48" t="s">
        <v>1487</v>
      </c>
      <c r="I143" s="48" t="s">
        <v>1265</v>
      </c>
      <c r="J143" s="48"/>
      <c r="K143" s="48" t="s">
        <v>1474</v>
      </c>
      <c r="L143" s="48" t="s">
        <v>1488</v>
      </c>
      <c r="M143" s="48"/>
      <c r="N143" s="48" t="s">
        <v>1253</v>
      </c>
      <c r="O143" s="48" t="s">
        <v>1489</v>
      </c>
      <c r="P143" s="51" t="s">
        <v>1490</v>
      </c>
      <c r="Q143" s="54" t="s">
        <v>1491</v>
      </c>
      <c r="R143" s="54" t="s">
        <v>1492</v>
      </c>
      <c r="S143" s="48" t="s">
        <v>1493</v>
      </c>
      <c r="T143" s="48" t="s">
        <v>1494</v>
      </c>
      <c r="U143" s="48"/>
      <c r="V143" s="48" t="s">
        <v>1335</v>
      </c>
      <c r="W143" s="48" t="s">
        <v>38</v>
      </c>
      <c r="X143" s="48" t="s">
        <v>794</v>
      </c>
      <c r="Y143" s="48" t="s">
        <v>40</v>
      </c>
    </row>
    <row r="144" spans="1:25" s="52" customFormat="1" ht="13.2">
      <c r="A144" s="48" t="s">
        <v>1495</v>
      </c>
      <c r="B144" s="54" t="s">
        <v>1496</v>
      </c>
      <c r="C144" s="49" t="s">
        <v>1497</v>
      </c>
      <c r="D144" s="50" t="s">
        <v>28</v>
      </c>
      <c r="E144" s="50" t="s">
        <v>28</v>
      </c>
      <c r="F144" s="48" t="s">
        <v>1247</v>
      </c>
      <c r="G144" s="48" t="s">
        <v>1498</v>
      </c>
      <c r="H144" s="48" t="s">
        <v>1400</v>
      </c>
      <c r="I144" s="48" t="s">
        <v>1253</v>
      </c>
      <c r="J144" s="48" t="s">
        <v>1499</v>
      </c>
      <c r="K144" s="48"/>
      <c r="L144" s="48"/>
      <c r="M144" s="48"/>
      <c r="N144" s="48" t="s">
        <v>1281</v>
      </c>
      <c r="O144" s="48" t="s">
        <v>1500</v>
      </c>
      <c r="P144" s="51" t="s">
        <v>1501</v>
      </c>
      <c r="Q144" s="54" t="s">
        <v>1502</v>
      </c>
      <c r="R144" s="54" t="s">
        <v>1503</v>
      </c>
      <c r="S144" s="48" t="s">
        <v>1504</v>
      </c>
      <c r="T144" s="48" t="s">
        <v>1505</v>
      </c>
      <c r="U144" s="48"/>
      <c r="V144" s="48" t="s">
        <v>1506</v>
      </c>
      <c r="W144" s="48" t="s">
        <v>38</v>
      </c>
      <c r="X144" s="48" t="s">
        <v>1507</v>
      </c>
      <c r="Y144" s="48" t="s">
        <v>40</v>
      </c>
    </row>
    <row r="145" spans="1:26" s="52" customFormat="1" ht="13.2">
      <c r="A145" s="48" t="s">
        <v>1508</v>
      </c>
      <c r="B145" s="54" t="s">
        <v>1509</v>
      </c>
      <c r="C145" s="56" t="s">
        <v>1510</v>
      </c>
      <c r="D145" s="50" t="s">
        <v>28</v>
      </c>
      <c r="E145" s="50" t="s">
        <v>28</v>
      </c>
      <c r="F145" s="48" t="s">
        <v>1247</v>
      </c>
      <c r="G145" s="48" t="s">
        <v>1511</v>
      </c>
      <c r="H145" s="48"/>
      <c r="I145" s="48"/>
      <c r="J145" s="48"/>
      <c r="K145" s="48"/>
      <c r="L145" s="48"/>
      <c r="M145" s="48"/>
      <c r="N145" s="48" t="s">
        <v>1365</v>
      </c>
      <c r="O145" s="48" t="s">
        <v>1512</v>
      </c>
      <c r="P145" s="51" t="s">
        <v>1513</v>
      </c>
      <c r="Q145" s="54" t="s">
        <v>1514</v>
      </c>
      <c r="R145" s="54" t="s">
        <v>1515</v>
      </c>
      <c r="S145" s="48" t="s">
        <v>1516</v>
      </c>
      <c r="T145" s="48" t="s">
        <v>1517</v>
      </c>
      <c r="U145" s="48"/>
      <c r="V145" s="48" t="s">
        <v>1518</v>
      </c>
      <c r="W145" s="48" t="s">
        <v>38</v>
      </c>
      <c r="X145" s="48" t="s">
        <v>1519</v>
      </c>
      <c r="Y145" s="48" t="s">
        <v>40</v>
      </c>
    </row>
    <row r="146" spans="1:26" s="8" customFormat="1" ht="13.2">
      <c r="A146" s="31" t="s">
        <v>1520</v>
      </c>
      <c r="B146" s="37" t="s">
        <v>1521</v>
      </c>
      <c r="C146" s="32" t="s">
        <v>1522</v>
      </c>
      <c r="D146" s="33" t="s">
        <v>195</v>
      </c>
      <c r="E146" s="33" t="s">
        <v>195</v>
      </c>
      <c r="F146" s="31" t="s">
        <v>1247</v>
      </c>
      <c r="G146" s="31" t="s">
        <v>1339</v>
      </c>
      <c r="H146" s="31" t="s">
        <v>1340</v>
      </c>
      <c r="I146" s="31" t="s">
        <v>1341</v>
      </c>
      <c r="J146" s="31" t="s">
        <v>1523</v>
      </c>
      <c r="K146" s="31"/>
      <c r="L146" s="31"/>
      <c r="M146" s="31"/>
      <c r="N146" s="31" t="s">
        <v>1281</v>
      </c>
      <c r="O146" s="31" t="s">
        <v>1524</v>
      </c>
      <c r="P146" s="34" t="s">
        <v>1525</v>
      </c>
      <c r="Q146" s="37" t="s">
        <v>1526</v>
      </c>
      <c r="R146" s="37" t="s">
        <v>1527</v>
      </c>
      <c r="S146" s="31" t="s">
        <v>1528</v>
      </c>
      <c r="T146" s="31" t="s">
        <v>1529</v>
      </c>
      <c r="U146" s="31" t="s">
        <v>1530</v>
      </c>
      <c r="V146" s="31" t="s">
        <v>1272</v>
      </c>
      <c r="W146" s="31" t="s">
        <v>38</v>
      </c>
      <c r="X146" s="31" t="s">
        <v>719</v>
      </c>
      <c r="Y146" s="31" t="s">
        <v>170</v>
      </c>
    </row>
    <row r="147" spans="1:26" s="8" customFormat="1" ht="13.2">
      <c r="A147" s="31" t="s">
        <v>1531</v>
      </c>
      <c r="B147" s="37" t="s">
        <v>1532</v>
      </c>
      <c r="C147" s="32" t="s">
        <v>1533</v>
      </c>
      <c r="D147" s="33" t="s">
        <v>195</v>
      </c>
      <c r="E147" s="33" t="s">
        <v>195</v>
      </c>
      <c r="F147" s="31" t="s">
        <v>1247</v>
      </c>
      <c r="G147" s="31" t="s">
        <v>1339</v>
      </c>
      <c r="H147" s="31" t="s">
        <v>1340</v>
      </c>
      <c r="I147" s="31" t="s">
        <v>1340</v>
      </c>
      <c r="J147" s="31" t="s">
        <v>1534</v>
      </c>
      <c r="K147" s="31"/>
      <c r="L147" s="31"/>
      <c r="M147" s="31"/>
      <c r="N147" s="31" t="s">
        <v>1281</v>
      </c>
      <c r="O147" s="31" t="s">
        <v>1535</v>
      </c>
      <c r="P147" s="34" t="s">
        <v>1536</v>
      </c>
      <c r="Q147" s="37" t="s">
        <v>1537</v>
      </c>
      <c r="R147" s="37" t="s">
        <v>1538</v>
      </c>
      <c r="S147" s="31" t="s">
        <v>1539</v>
      </c>
      <c r="T147" s="31" t="s">
        <v>1540</v>
      </c>
      <c r="U147" s="31" t="s">
        <v>1541</v>
      </c>
      <c r="V147" s="31" t="s">
        <v>1272</v>
      </c>
      <c r="W147" s="31" t="s">
        <v>38</v>
      </c>
      <c r="X147" s="31" t="s">
        <v>719</v>
      </c>
      <c r="Y147" s="31" t="s">
        <v>170</v>
      </c>
    </row>
    <row r="148" spans="1:26" s="8" customFormat="1" ht="13.2">
      <c r="A148" s="31" t="s">
        <v>1542</v>
      </c>
      <c r="B148" s="37" t="s">
        <v>1543</v>
      </c>
      <c r="C148" s="32" t="s">
        <v>1544</v>
      </c>
      <c r="D148" s="14" t="s">
        <v>28</v>
      </c>
      <c r="E148" s="14" t="s">
        <v>28</v>
      </c>
      <c r="F148" s="31" t="s">
        <v>1247</v>
      </c>
      <c r="G148" s="31" t="s">
        <v>1545</v>
      </c>
      <c r="H148" s="31" t="s">
        <v>1400</v>
      </c>
      <c r="I148" s="31"/>
      <c r="J148" s="31" t="s">
        <v>1546</v>
      </c>
      <c r="K148" s="31"/>
      <c r="L148" s="31"/>
      <c r="M148" s="31"/>
      <c r="N148" s="31" t="s">
        <v>1281</v>
      </c>
      <c r="O148" s="31" t="s">
        <v>1547</v>
      </c>
      <c r="P148" s="34" t="s">
        <v>1548</v>
      </c>
      <c r="Q148" s="37" t="s">
        <v>1549</v>
      </c>
      <c r="R148" s="37" t="s">
        <v>1550</v>
      </c>
      <c r="S148" s="31" t="s">
        <v>1551</v>
      </c>
      <c r="T148" s="31" t="s">
        <v>1552</v>
      </c>
      <c r="U148" s="31"/>
      <c r="V148" s="31" t="s">
        <v>1553</v>
      </c>
      <c r="W148" s="31" t="s">
        <v>38</v>
      </c>
      <c r="X148" s="31" t="s">
        <v>1554</v>
      </c>
      <c r="Y148" s="31" t="s">
        <v>40</v>
      </c>
    </row>
    <row r="149" spans="1:26" s="8" customFormat="1" ht="13.2">
      <c r="A149" s="31" t="s">
        <v>1555</v>
      </c>
      <c r="B149" s="37" t="s">
        <v>1556</v>
      </c>
      <c r="C149" s="32" t="s">
        <v>1557</v>
      </c>
      <c r="D149" s="33" t="s">
        <v>195</v>
      </c>
      <c r="E149" s="33" t="s">
        <v>195</v>
      </c>
      <c r="F149" s="31" t="s">
        <v>1247</v>
      </c>
      <c r="G149" s="31" t="s">
        <v>1558</v>
      </c>
      <c r="H149" s="31"/>
      <c r="I149" s="31"/>
      <c r="J149" s="31"/>
      <c r="K149" s="31" t="s">
        <v>1253</v>
      </c>
      <c r="L149" s="31" t="s">
        <v>1559</v>
      </c>
      <c r="M149" s="31"/>
      <c r="N149" s="31" t="s">
        <v>1281</v>
      </c>
      <c r="O149" s="31" t="s">
        <v>1560</v>
      </c>
      <c r="P149" s="34" t="s">
        <v>1561</v>
      </c>
      <c r="Q149" s="37" t="s">
        <v>1562</v>
      </c>
      <c r="R149" s="37" t="s">
        <v>1563</v>
      </c>
      <c r="S149" s="31" t="s">
        <v>1564</v>
      </c>
      <c r="T149" s="31" t="s">
        <v>1565</v>
      </c>
      <c r="U149" s="31" t="s">
        <v>1566</v>
      </c>
      <c r="V149" s="31" t="s">
        <v>1299</v>
      </c>
      <c r="W149" s="31" t="s">
        <v>38</v>
      </c>
      <c r="X149" s="31" t="s">
        <v>732</v>
      </c>
      <c r="Y149" s="31" t="s">
        <v>40</v>
      </c>
    </row>
    <row r="150" spans="1:26" s="8" customFormat="1" ht="13.2">
      <c r="A150" s="31" t="s">
        <v>1567</v>
      </c>
      <c r="B150" s="37" t="s">
        <v>1568</v>
      </c>
      <c r="C150" s="32" t="s">
        <v>1569</v>
      </c>
      <c r="D150" s="33" t="s">
        <v>195</v>
      </c>
      <c r="E150" s="33" t="s">
        <v>195</v>
      </c>
      <c r="F150" s="31" t="s">
        <v>1570</v>
      </c>
      <c r="G150" s="31" t="s">
        <v>1571</v>
      </c>
      <c r="H150" s="31" t="s">
        <v>1572</v>
      </c>
      <c r="I150" s="31"/>
      <c r="J150" s="31" t="s">
        <v>1573</v>
      </c>
      <c r="K150" s="31"/>
      <c r="L150" s="31"/>
      <c r="M150" s="31"/>
      <c r="N150" s="31" t="s">
        <v>1281</v>
      </c>
      <c r="O150" s="31" t="s">
        <v>1574</v>
      </c>
      <c r="P150" s="34" t="s">
        <v>1575</v>
      </c>
      <c r="Q150" s="37" t="s">
        <v>1576</v>
      </c>
      <c r="R150" s="37" t="s">
        <v>1577</v>
      </c>
      <c r="S150" s="31" t="s">
        <v>1578</v>
      </c>
      <c r="T150" s="31" t="s">
        <v>1579</v>
      </c>
      <c r="U150" s="31" t="s">
        <v>1580</v>
      </c>
      <c r="V150" s="31" t="s">
        <v>1373</v>
      </c>
      <c r="W150" s="31" t="s">
        <v>38</v>
      </c>
      <c r="X150" s="31" t="s">
        <v>1571</v>
      </c>
      <c r="Y150" s="31" t="s">
        <v>40</v>
      </c>
    </row>
    <row r="151" spans="1:26" s="8" customFormat="1" ht="13.2">
      <c r="A151" s="31" t="s">
        <v>1581</v>
      </c>
      <c r="B151" s="37" t="s">
        <v>1582</v>
      </c>
      <c r="C151" s="32" t="s">
        <v>1583</v>
      </c>
      <c r="D151" s="14" t="s">
        <v>28</v>
      </c>
      <c r="E151" s="33" t="s">
        <v>28</v>
      </c>
      <c r="F151" s="31" t="s">
        <v>1247</v>
      </c>
      <c r="G151" s="31" t="s">
        <v>1584</v>
      </c>
      <c r="H151" s="31" t="s">
        <v>1433</v>
      </c>
      <c r="I151" s="31"/>
      <c r="J151" s="31" t="s">
        <v>1585</v>
      </c>
      <c r="K151" s="31"/>
      <c r="L151" s="31"/>
      <c r="M151" s="31"/>
      <c r="N151" s="31" t="s">
        <v>1281</v>
      </c>
      <c r="O151" s="31" t="s">
        <v>1586</v>
      </c>
      <c r="P151" s="34" t="s">
        <v>1587</v>
      </c>
      <c r="Q151" s="37" t="s">
        <v>1588</v>
      </c>
      <c r="R151" s="37" t="s">
        <v>1589</v>
      </c>
      <c r="S151" s="31" t="s">
        <v>1590</v>
      </c>
      <c r="T151" s="31" t="s">
        <v>1591</v>
      </c>
      <c r="U151" s="31"/>
      <c r="V151" s="31" t="s">
        <v>1592</v>
      </c>
      <c r="W151" s="31" t="s">
        <v>38</v>
      </c>
      <c r="X151" s="31" t="s">
        <v>1593</v>
      </c>
      <c r="Y151" s="31" t="s">
        <v>40</v>
      </c>
    </row>
    <row r="152" spans="1:26" s="8" customFormat="1" ht="13.2">
      <c r="A152" s="31" t="s">
        <v>1594</v>
      </c>
      <c r="B152" s="37" t="s">
        <v>1595</v>
      </c>
      <c r="C152" s="32" t="s">
        <v>1596</v>
      </c>
      <c r="D152" s="14" t="s">
        <v>28</v>
      </c>
      <c r="E152" s="33" t="s">
        <v>28</v>
      </c>
      <c r="F152" s="31" t="s">
        <v>1247</v>
      </c>
      <c r="G152" s="31" t="s">
        <v>1597</v>
      </c>
      <c r="H152" s="31" t="s">
        <v>1316</v>
      </c>
      <c r="I152" s="31" t="s">
        <v>1598</v>
      </c>
      <c r="J152" s="31"/>
      <c r="K152" s="31" t="s">
        <v>1599</v>
      </c>
      <c r="L152" s="31" t="s">
        <v>1600</v>
      </c>
      <c r="M152" s="31"/>
      <c r="N152" s="31" t="s">
        <v>1281</v>
      </c>
      <c r="O152" s="31" t="s">
        <v>1601</v>
      </c>
      <c r="P152" s="34" t="s">
        <v>1602</v>
      </c>
      <c r="Q152" s="37" t="s">
        <v>1603</v>
      </c>
      <c r="R152" s="37" t="s">
        <v>1604</v>
      </c>
      <c r="S152" s="31" t="s">
        <v>1605</v>
      </c>
      <c r="T152" s="31" t="s">
        <v>1606</v>
      </c>
      <c r="U152" s="31"/>
      <c r="V152" s="31" t="s">
        <v>1607</v>
      </c>
      <c r="W152" s="31" t="s">
        <v>38</v>
      </c>
      <c r="X152" s="31" t="s">
        <v>1608</v>
      </c>
      <c r="Y152" s="31" t="s">
        <v>40</v>
      </c>
    </row>
    <row r="153" spans="1:26" s="8" customFormat="1" ht="13.2">
      <c r="A153" s="31" t="s">
        <v>1609</v>
      </c>
      <c r="B153" s="37" t="s">
        <v>1610</v>
      </c>
      <c r="C153" s="32" t="s">
        <v>1611</v>
      </c>
      <c r="D153" s="14" t="s">
        <v>28</v>
      </c>
      <c r="E153" s="14" t="s">
        <v>28</v>
      </c>
      <c r="F153" s="31" t="s">
        <v>1247</v>
      </c>
      <c r="G153" s="31" t="s">
        <v>1545</v>
      </c>
      <c r="H153" s="31" t="s">
        <v>1400</v>
      </c>
      <c r="I153" s="31"/>
      <c r="J153" s="31" t="s">
        <v>1612</v>
      </c>
      <c r="K153" s="31"/>
      <c r="L153" s="31"/>
      <c r="M153" s="31"/>
      <c r="N153" s="31" t="s">
        <v>1281</v>
      </c>
      <c r="O153" s="31" t="s">
        <v>1613</v>
      </c>
      <c r="P153" s="34" t="s">
        <v>1614</v>
      </c>
      <c r="Q153" s="37" t="s">
        <v>1615</v>
      </c>
      <c r="R153" s="37" t="s">
        <v>1616</v>
      </c>
      <c r="S153" s="31" t="s">
        <v>1617</v>
      </c>
      <c r="T153" s="31" t="s">
        <v>1618</v>
      </c>
      <c r="U153" s="31"/>
      <c r="V153" s="31" t="s">
        <v>1553</v>
      </c>
      <c r="W153" s="31" t="s">
        <v>38</v>
      </c>
      <c r="X153" s="31" t="s">
        <v>1554</v>
      </c>
      <c r="Y153" s="31" t="s">
        <v>170</v>
      </c>
    </row>
    <row r="154" spans="1:26" s="8" customFormat="1" ht="13.2">
      <c r="A154" s="35" t="s">
        <v>1619</v>
      </c>
      <c r="B154" s="37" t="s">
        <v>1620</v>
      </c>
      <c r="C154" s="32" t="s">
        <v>1621</v>
      </c>
      <c r="D154" s="14" t="s">
        <v>28</v>
      </c>
      <c r="E154" s="14" t="s">
        <v>28</v>
      </c>
      <c r="F154" s="31">
        <v>2025</v>
      </c>
      <c r="G154" s="31" t="s">
        <v>1622</v>
      </c>
      <c r="H154" s="31">
        <v>87</v>
      </c>
      <c r="I154" s="31" t="s">
        <v>30</v>
      </c>
      <c r="J154" s="31" t="s">
        <v>30</v>
      </c>
      <c r="K154" s="31">
        <v>116</v>
      </c>
      <c r="L154" s="31">
        <v>130</v>
      </c>
      <c r="M154" s="31" t="s">
        <v>30</v>
      </c>
      <c r="N154" s="31">
        <v>0</v>
      </c>
      <c r="O154" s="31" t="s">
        <v>1623</v>
      </c>
      <c r="P154" s="31" t="str">
        <f>HYPERLINK("http://dx.doi.org/10.38140/trp.v87i.9713","http://dx.doi.org/10.38140/trp.v87i.9713")</f>
        <v>http://dx.doi.org/10.38140/trp.v87i.9713</v>
      </c>
      <c r="Q154" s="37" t="s">
        <v>1624</v>
      </c>
      <c r="R154" s="37" t="s">
        <v>1625</v>
      </c>
      <c r="S154" s="31" t="s">
        <v>1626</v>
      </c>
      <c r="T154" s="31" t="s">
        <v>1627</v>
      </c>
      <c r="U154" s="31" t="s">
        <v>1628</v>
      </c>
      <c r="V154" s="31" t="s">
        <v>1629</v>
      </c>
      <c r="W154" s="31" t="s">
        <v>38</v>
      </c>
      <c r="X154" s="31" t="s">
        <v>1630</v>
      </c>
      <c r="Y154" s="31" t="s">
        <v>40</v>
      </c>
    </row>
    <row r="155" spans="1:26" s="8" customFormat="1" ht="13.2">
      <c r="A155" s="35" t="s">
        <v>1631</v>
      </c>
      <c r="B155" s="37" t="s">
        <v>1632</v>
      </c>
      <c r="C155" s="32" t="s">
        <v>1633</v>
      </c>
      <c r="D155" s="14" t="s">
        <v>28</v>
      </c>
      <c r="E155" s="14" t="s">
        <v>28</v>
      </c>
      <c r="F155" s="31">
        <v>2025</v>
      </c>
      <c r="G155" s="31" t="s">
        <v>787</v>
      </c>
      <c r="H155" s="31">
        <v>35</v>
      </c>
      <c r="I155" s="31">
        <v>3</v>
      </c>
      <c r="J155" s="31" t="s">
        <v>30</v>
      </c>
      <c r="K155" s="31">
        <v>583</v>
      </c>
      <c r="L155" s="31">
        <v>599</v>
      </c>
      <c r="M155" s="31" t="s">
        <v>30</v>
      </c>
      <c r="N155" s="31">
        <v>4</v>
      </c>
      <c r="O155" s="31" t="s">
        <v>1634</v>
      </c>
      <c r="P155" s="31" t="str">
        <f>HYPERLINK("http://dx.doi.org/10.1080/10511482.2025.2479449","http://dx.doi.org/10.1080/10511482.2025.2479449")</f>
        <v>http://dx.doi.org/10.1080/10511482.2025.2479449</v>
      </c>
      <c r="Q155" s="37" t="s">
        <v>1635</v>
      </c>
      <c r="R155" s="37" t="s">
        <v>1636</v>
      </c>
      <c r="S155" s="31" t="s">
        <v>1637</v>
      </c>
      <c r="T155" s="31" t="s">
        <v>1638</v>
      </c>
      <c r="U155" s="31" t="s">
        <v>1639</v>
      </c>
      <c r="V155" s="31" t="s">
        <v>122</v>
      </c>
      <c r="W155" s="31" t="s">
        <v>38</v>
      </c>
      <c r="X155" s="31" t="s">
        <v>794</v>
      </c>
      <c r="Y155" s="31" t="s">
        <v>40</v>
      </c>
    </row>
    <row r="156" spans="1:26" s="8" customFormat="1" ht="13.2">
      <c r="A156" s="35" t="s">
        <v>1640</v>
      </c>
      <c r="B156" s="37" t="s">
        <v>1641</v>
      </c>
      <c r="C156" s="32" t="s">
        <v>1642</v>
      </c>
      <c r="D156" s="33" t="s">
        <v>195</v>
      </c>
      <c r="E156" s="33" t="s">
        <v>195</v>
      </c>
      <c r="F156" s="31">
        <v>2025</v>
      </c>
      <c r="G156" s="31" t="s">
        <v>1643</v>
      </c>
      <c r="H156" s="31">
        <v>28</v>
      </c>
      <c r="I156" s="31" t="s">
        <v>30</v>
      </c>
      <c r="J156" s="31">
        <v>108409</v>
      </c>
      <c r="K156" s="31" t="s">
        <v>30</v>
      </c>
      <c r="L156" s="31" t="s">
        <v>30</v>
      </c>
      <c r="M156" s="31" t="s">
        <v>30</v>
      </c>
      <c r="N156" s="31">
        <v>0</v>
      </c>
      <c r="O156" s="31" t="s">
        <v>1644</v>
      </c>
      <c r="P156" s="31" t="str">
        <f>HYPERLINK("http://dx.doi.org/10.1016/j.rineng.2025.108409","http://dx.doi.org/10.1016/j.rineng.2025.108409")</f>
        <v>http://dx.doi.org/10.1016/j.rineng.2025.108409</v>
      </c>
      <c r="Q156" s="31" t="s">
        <v>1645</v>
      </c>
      <c r="R156" s="37" t="s">
        <v>1646</v>
      </c>
      <c r="S156" s="31" t="s">
        <v>1647</v>
      </c>
      <c r="T156" s="31" t="s">
        <v>1648</v>
      </c>
      <c r="U156" s="31" t="s">
        <v>1649</v>
      </c>
      <c r="V156" s="31" t="s">
        <v>828</v>
      </c>
      <c r="W156" s="31" t="s">
        <v>38</v>
      </c>
      <c r="X156" s="31" t="s">
        <v>1650</v>
      </c>
      <c r="Y156" s="31" t="s">
        <v>40</v>
      </c>
    </row>
    <row r="157" spans="1:26" s="8" customFormat="1" ht="13.2">
      <c r="A157" s="35" t="s">
        <v>1651</v>
      </c>
      <c r="B157" s="37" t="s">
        <v>1652</v>
      </c>
      <c r="C157" s="32" t="s">
        <v>1653</v>
      </c>
      <c r="D157" s="33" t="s">
        <v>195</v>
      </c>
      <c r="E157" s="33" t="s">
        <v>195</v>
      </c>
      <c r="F157" s="31">
        <v>2025</v>
      </c>
      <c r="G157" s="31" t="s">
        <v>1654</v>
      </c>
      <c r="H157" s="31">
        <v>9</v>
      </c>
      <c r="I157" s="31">
        <v>1</v>
      </c>
      <c r="J157" s="31" t="s">
        <v>30</v>
      </c>
      <c r="K157" s="31">
        <v>270</v>
      </c>
      <c r="L157" s="31">
        <v>288</v>
      </c>
      <c r="M157" s="31" t="s">
        <v>30</v>
      </c>
      <c r="N157" s="31">
        <v>1</v>
      </c>
      <c r="O157" s="31" t="s">
        <v>1655</v>
      </c>
      <c r="P157" s="31" t="str">
        <f>HYPERLINK("http://dx.doi.org/10.25034/ijcua.2025.v9n1-14","http://dx.doi.org/10.25034/ijcua.2025.v9n1-14")</f>
        <v>http://dx.doi.org/10.25034/ijcua.2025.v9n1-14</v>
      </c>
      <c r="Q157" s="31" t="s">
        <v>1656</v>
      </c>
      <c r="R157" s="31" t="s">
        <v>1657</v>
      </c>
      <c r="S157" s="31" t="s">
        <v>1658</v>
      </c>
      <c r="T157" s="31" t="s">
        <v>1659</v>
      </c>
      <c r="U157" s="31" t="s">
        <v>30</v>
      </c>
      <c r="V157" s="31" t="s">
        <v>1660</v>
      </c>
      <c r="W157" s="31" t="s">
        <v>38</v>
      </c>
      <c r="X157" s="31" t="s">
        <v>1661</v>
      </c>
      <c r="Y157" s="31" t="s">
        <v>40</v>
      </c>
    </row>
    <row r="158" spans="1:26" ht="19.5" customHeight="1">
      <c r="A158" s="28"/>
      <c r="B158" s="28"/>
      <c r="C158" s="39" t="s">
        <v>1242</v>
      </c>
      <c r="D158" s="41">
        <f>COUNTIF(D124:D157, "EC1")</f>
        <v>0</v>
      </c>
      <c r="E158" s="41">
        <f>COUNTIF(E124:E157, "EC1")</f>
        <v>0</v>
      </c>
      <c r="F158" s="28"/>
      <c r="G158" s="28"/>
      <c r="H158" s="28"/>
      <c r="I158" s="28"/>
      <c r="J158" s="28"/>
      <c r="K158" s="28"/>
      <c r="L158" s="28"/>
      <c r="M158" s="28"/>
      <c r="N158" s="28"/>
      <c r="O158" s="28"/>
      <c r="P158" s="28"/>
      <c r="Q158" s="28"/>
      <c r="R158" s="28"/>
      <c r="S158" s="28"/>
      <c r="T158" s="28"/>
      <c r="U158" s="7"/>
      <c r="V158" s="28"/>
      <c r="W158" s="28"/>
      <c r="X158" s="2"/>
      <c r="Y158" s="2"/>
      <c r="Z158" s="2"/>
    </row>
    <row r="159" spans="1:26" ht="19.5" customHeight="1">
      <c r="A159" s="28"/>
      <c r="B159" s="28"/>
      <c r="C159" s="39" t="s">
        <v>70</v>
      </c>
      <c r="D159" s="41">
        <f>COUNTIF(D125:D158, "EC2")</f>
        <v>0</v>
      </c>
      <c r="E159" s="41">
        <f>COUNTIF(E125:E158, "EC2")</f>
        <v>0</v>
      </c>
      <c r="F159" s="28"/>
      <c r="G159" s="28"/>
      <c r="H159" s="28"/>
      <c r="I159" s="28"/>
      <c r="J159" s="28"/>
      <c r="K159" s="28"/>
      <c r="L159" s="28"/>
      <c r="M159" s="28"/>
      <c r="N159" s="28"/>
      <c r="O159" s="28"/>
      <c r="P159" s="28"/>
      <c r="Q159" s="28"/>
      <c r="R159" s="28"/>
      <c r="S159" s="28"/>
      <c r="T159" s="28"/>
      <c r="U159" s="7"/>
      <c r="V159" s="28"/>
      <c r="W159" s="28"/>
      <c r="X159" s="2"/>
      <c r="Y159" s="2"/>
      <c r="Z159" s="2"/>
    </row>
    <row r="160" spans="1:26" ht="19.5" customHeight="1">
      <c r="A160" s="28"/>
      <c r="B160" s="28"/>
      <c r="C160" s="39" t="s">
        <v>1243</v>
      </c>
      <c r="D160" s="41">
        <f>COUNTIF(D126:D159, "EC3")</f>
        <v>0</v>
      </c>
      <c r="E160" s="41">
        <f>COUNTIF(E126:E159, "EC3")</f>
        <v>0</v>
      </c>
      <c r="F160" s="28"/>
      <c r="G160" s="28"/>
      <c r="H160" s="28"/>
      <c r="I160" s="28"/>
      <c r="J160" s="28"/>
      <c r="K160" s="28"/>
      <c r="L160" s="28"/>
      <c r="M160" s="28"/>
      <c r="N160" s="28"/>
      <c r="O160" s="28"/>
      <c r="P160" s="28"/>
      <c r="Q160" s="28"/>
      <c r="R160" s="28"/>
      <c r="S160" s="28"/>
      <c r="T160" s="28"/>
      <c r="U160" s="7"/>
      <c r="V160" s="28"/>
      <c r="W160" s="28"/>
      <c r="X160" s="2"/>
      <c r="Y160" s="2"/>
      <c r="Z160" s="2"/>
    </row>
    <row r="161" spans="1:26" ht="19.5" customHeight="1">
      <c r="A161" s="28"/>
      <c r="B161" s="28"/>
      <c r="C161" s="39" t="s">
        <v>456</v>
      </c>
      <c r="D161" s="41">
        <f>COUNTIF(D127:D160, "EC4")</f>
        <v>0</v>
      </c>
      <c r="E161" s="41">
        <f>COUNTIF(E127:E160, "EC4")</f>
        <v>0</v>
      </c>
      <c r="F161" s="28"/>
      <c r="G161" s="28"/>
      <c r="H161" s="28"/>
      <c r="I161" s="28"/>
      <c r="J161" s="28"/>
      <c r="K161" s="28"/>
      <c r="L161" s="28"/>
      <c r="M161" s="28"/>
      <c r="N161" s="28"/>
      <c r="O161" s="28"/>
      <c r="P161" s="28"/>
      <c r="Q161" s="28"/>
      <c r="R161" s="28"/>
      <c r="S161" s="28"/>
      <c r="T161" s="28"/>
      <c r="U161" s="7"/>
      <c r="V161" s="28"/>
      <c r="W161" s="28"/>
      <c r="X161" s="2"/>
      <c r="Y161" s="2"/>
      <c r="Z161" s="2"/>
    </row>
    <row r="162" spans="1:26" ht="19.5" customHeight="1">
      <c r="A162" s="28"/>
      <c r="B162" s="28"/>
      <c r="C162" s="39" t="s">
        <v>723</v>
      </c>
      <c r="D162" s="41">
        <f>COUNTIF(D128:D161, "EC5")</f>
        <v>2</v>
      </c>
      <c r="E162" s="41">
        <f>COUNTIF(E128:E161, "EC5")</f>
        <v>2</v>
      </c>
      <c r="F162" s="28"/>
      <c r="G162" s="28"/>
      <c r="H162" s="28"/>
      <c r="I162" s="28"/>
      <c r="J162" s="28"/>
      <c r="K162" s="28"/>
      <c r="L162" s="28"/>
      <c r="M162" s="28"/>
      <c r="N162" s="28"/>
      <c r="O162" s="28"/>
      <c r="P162" s="28"/>
      <c r="Q162" s="28"/>
      <c r="R162" s="28"/>
      <c r="S162" s="28"/>
      <c r="T162" s="28"/>
      <c r="U162" s="7"/>
      <c r="V162" s="28"/>
      <c r="W162" s="28"/>
      <c r="X162" s="2"/>
      <c r="Y162" s="2"/>
      <c r="Z162" s="2"/>
    </row>
    <row r="163" spans="1:26" ht="19.5" customHeight="1">
      <c r="A163" s="28"/>
      <c r="B163" s="28"/>
      <c r="C163" s="40" t="s">
        <v>195</v>
      </c>
      <c r="D163" s="42">
        <f>COUNTIF(D129:D162, "EC6")</f>
        <v>12</v>
      </c>
      <c r="E163" s="42">
        <f>COUNTIF(E129:E162, "EC6")</f>
        <v>12</v>
      </c>
      <c r="F163" s="28"/>
      <c r="G163" s="28"/>
      <c r="H163" s="28"/>
      <c r="I163" s="28"/>
      <c r="J163" s="28"/>
      <c r="K163" s="28"/>
      <c r="L163" s="28"/>
      <c r="M163" s="28"/>
      <c r="N163" s="28"/>
      <c r="O163" s="28"/>
      <c r="P163" s="28"/>
      <c r="Q163" s="28"/>
      <c r="R163" s="28"/>
      <c r="S163" s="28"/>
      <c r="T163" s="28"/>
      <c r="U163" s="7"/>
      <c r="V163" s="28"/>
      <c r="W163" s="28"/>
      <c r="X163" s="2"/>
      <c r="Y163" s="2"/>
      <c r="Z163" s="2"/>
    </row>
    <row r="164" spans="1:26" ht="19.5" customHeight="1">
      <c r="A164" s="28"/>
      <c r="B164" s="28"/>
      <c r="C164" s="28"/>
      <c r="D164" s="43">
        <f>SUM(D158:D163)</f>
        <v>14</v>
      </c>
      <c r="E164" s="43">
        <f>SUM(E158:E163)</f>
        <v>14</v>
      </c>
      <c r="F164" s="28"/>
      <c r="G164" s="28"/>
      <c r="H164" s="28"/>
      <c r="I164" s="28"/>
      <c r="J164" s="28"/>
      <c r="K164" s="28"/>
      <c r="L164" s="28"/>
      <c r="M164" s="28"/>
      <c r="N164" s="28"/>
      <c r="O164" s="28"/>
      <c r="P164" s="28"/>
      <c r="Q164" s="28"/>
      <c r="R164" s="28"/>
      <c r="S164" s="28"/>
      <c r="T164" s="28"/>
      <c r="U164" s="7"/>
      <c r="V164" s="28"/>
      <c r="W164" s="28"/>
      <c r="X164" s="2"/>
      <c r="Y164" s="2"/>
      <c r="Z164" s="2"/>
    </row>
    <row r="165" spans="1:26" ht="19.5" customHeight="1">
      <c r="A165" s="28"/>
      <c r="B165" s="28"/>
      <c r="C165" s="28"/>
      <c r="D165" s="29"/>
      <c r="E165" s="29"/>
      <c r="F165" s="28"/>
      <c r="G165" s="28"/>
      <c r="H165" s="28"/>
      <c r="I165" s="28"/>
      <c r="J165" s="28"/>
      <c r="K165" s="28"/>
      <c r="L165" s="28"/>
      <c r="M165" s="28"/>
      <c r="N165" s="28"/>
      <c r="O165" s="28"/>
      <c r="P165" s="28"/>
      <c r="Q165" s="28"/>
      <c r="R165" s="28"/>
      <c r="S165" s="28"/>
      <c r="T165" s="28"/>
      <c r="U165" s="7"/>
      <c r="V165" s="28"/>
      <c r="W165" s="28"/>
      <c r="X165" s="2"/>
      <c r="Y165" s="2"/>
      <c r="Z165" s="2"/>
    </row>
    <row r="166" spans="1:26" ht="19.5" customHeight="1">
      <c r="A166" s="28"/>
      <c r="B166" s="28"/>
      <c r="C166" s="39" t="s">
        <v>1242</v>
      </c>
      <c r="D166" s="41">
        <f>D116+D158</f>
        <v>0</v>
      </c>
      <c r="E166" s="41">
        <f>E116+E158</f>
        <v>0</v>
      </c>
      <c r="F166" s="28"/>
      <c r="G166" s="28"/>
      <c r="H166" s="28"/>
      <c r="I166" s="28"/>
      <c r="J166" s="28"/>
      <c r="K166" s="28"/>
      <c r="L166" s="28"/>
      <c r="M166" s="28"/>
      <c r="N166" s="28"/>
      <c r="O166" s="28"/>
      <c r="P166" s="28"/>
      <c r="Q166" s="28"/>
      <c r="R166" s="28"/>
      <c r="S166" s="28"/>
      <c r="T166" s="28"/>
      <c r="U166" s="7"/>
      <c r="V166" s="28"/>
      <c r="W166" s="28"/>
      <c r="X166" s="2"/>
      <c r="Y166" s="2"/>
      <c r="Z166" s="2"/>
    </row>
    <row r="167" spans="1:26" ht="19.5" customHeight="1">
      <c r="A167" s="28"/>
      <c r="B167" s="28"/>
      <c r="C167" s="39" t="s">
        <v>70</v>
      </c>
      <c r="D167" s="41">
        <f>D117+D159</f>
        <v>8</v>
      </c>
      <c r="E167" s="41">
        <f>E117+E159</f>
        <v>9</v>
      </c>
      <c r="F167" s="28"/>
      <c r="G167" s="28"/>
      <c r="H167" s="28"/>
      <c r="I167" s="28"/>
      <c r="J167" s="28"/>
      <c r="K167" s="28"/>
      <c r="L167" s="28"/>
      <c r="M167" s="28"/>
      <c r="N167" s="28"/>
      <c r="O167" s="28"/>
      <c r="P167" s="28"/>
      <c r="Q167" s="28"/>
      <c r="R167" s="28"/>
      <c r="S167" s="28"/>
      <c r="T167" s="28"/>
      <c r="U167" s="7"/>
      <c r="V167" s="28"/>
      <c r="W167" s="28"/>
      <c r="X167" s="2"/>
      <c r="Y167" s="2"/>
      <c r="Z167" s="2"/>
    </row>
    <row r="168" spans="1:26" ht="19.5" customHeight="1">
      <c r="A168" s="28"/>
      <c r="B168" s="28"/>
      <c r="C168" s="39" t="s">
        <v>1243</v>
      </c>
      <c r="D168" s="41">
        <f t="shared" ref="D168:E171" si="1">D118+D160</f>
        <v>0</v>
      </c>
      <c r="E168" s="41">
        <f t="shared" si="1"/>
        <v>0</v>
      </c>
      <c r="F168" s="28"/>
      <c r="G168" s="28"/>
      <c r="H168" s="28"/>
      <c r="I168" s="28"/>
      <c r="J168" s="28"/>
      <c r="K168" s="28"/>
      <c r="L168" s="28"/>
      <c r="M168" s="28"/>
      <c r="N168" s="28"/>
      <c r="O168" s="28"/>
      <c r="P168" s="28"/>
      <c r="Q168" s="28"/>
      <c r="R168" s="28"/>
      <c r="S168" s="28"/>
      <c r="T168" s="28"/>
      <c r="U168" s="7"/>
      <c r="V168" s="28"/>
      <c r="W168" s="28"/>
      <c r="X168" s="2"/>
      <c r="Y168" s="2"/>
      <c r="Z168" s="2"/>
    </row>
    <row r="169" spans="1:26" ht="19.5" customHeight="1">
      <c r="A169" s="28"/>
      <c r="B169" s="28"/>
      <c r="C169" s="39" t="s">
        <v>456</v>
      </c>
      <c r="D169" s="41">
        <f t="shared" si="1"/>
        <v>1</v>
      </c>
      <c r="E169" s="41">
        <f t="shared" si="1"/>
        <v>1</v>
      </c>
      <c r="F169" s="28"/>
      <c r="G169" s="28"/>
      <c r="H169" s="28"/>
      <c r="I169" s="28"/>
      <c r="J169" s="28"/>
      <c r="K169" s="28"/>
      <c r="L169" s="28"/>
      <c r="M169" s="28"/>
      <c r="N169" s="28"/>
      <c r="O169" s="28"/>
      <c r="P169" s="28"/>
      <c r="Q169" s="28"/>
      <c r="R169" s="28"/>
      <c r="S169" s="28"/>
      <c r="T169" s="28"/>
      <c r="U169" s="7"/>
      <c r="V169" s="28"/>
      <c r="W169" s="28"/>
      <c r="X169" s="2"/>
      <c r="Y169" s="2"/>
      <c r="Z169" s="2"/>
    </row>
    <row r="170" spans="1:26" ht="19.5" customHeight="1">
      <c r="A170" s="28"/>
      <c r="B170" s="28"/>
      <c r="C170" s="39" t="s">
        <v>723</v>
      </c>
      <c r="D170" s="41">
        <f t="shared" si="1"/>
        <v>6</v>
      </c>
      <c r="E170" s="41">
        <f t="shared" si="1"/>
        <v>7</v>
      </c>
      <c r="F170" s="28"/>
      <c r="G170" s="28"/>
      <c r="H170" s="28"/>
      <c r="I170" s="28"/>
      <c r="J170" s="28"/>
      <c r="K170" s="28"/>
      <c r="L170" s="28"/>
      <c r="M170" s="28"/>
      <c r="N170" s="28"/>
      <c r="O170" s="28"/>
      <c r="P170" s="28"/>
      <c r="Q170" s="28"/>
      <c r="R170" s="28"/>
      <c r="S170" s="28"/>
      <c r="T170" s="28"/>
      <c r="U170" s="7"/>
      <c r="V170" s="28"/>
      <c r="W170" s="28"/>
      <c r="X170" s="2"/>
      <c r="Y170" s="2"/>
      <c r="Z170" s="2"/>
    </row>
    <row r="171" spans="1:26" ht="19.5" customHeight="1">
      <c r="A171" s="28"/>
      <c r="B171" s="28"/>
      <c r="C171" s="40" t="s">
        <v>195</v>
      </c>
      <c r="D171" s="47">
        <f t="shared" si="1"/>
        <v>28</v>
      </c>
      <c r="E171" s="47">
        <f t="shared" si="1"/>
        <v>31</v>
      </c>
      <c r="F171" s="28"/>
      <c r="G171" s="28"/>
      <c r="H171" s="28"/>
      <c r="I171" s="28"/>
      <c r="J171" s="28"/>
      <c r="K171" s="28"/>
      <c r="L171" s="28"/>
      <c r="M171" s="28"/>
      <c r="N171" s="28"/>
      <c r="O171" s="28"/>
      <c r="P171" s="28"/>
      <c r="Q171" s="28"/>
      <c r="R171" s="28"/>
      <c r="S171" s="28"/>
      <c r="T171" s="28"/>
      <c r="U171" s="7"/>
      <c r="V171" s="28"/>
      <c r="W171" s="28"/>
      <c r="X171" s="2"/>
      <c r="Y171" s="2"/>
      <c r="Z171" s="2"/>
    </row>
    <row r="172" spans="1:26" ht="19.5" customHeight="1">
      <c r="A172" s="28"/>
      <c r="B172" s="28"/>
      <c r="C172" s="28"/>
      <c r="D172" s="46">
        <f>SUM(D166:D171)</f>
        <v>43</v>
      </c>
      <c r="E172" s="46">
        <f>SUM(E166:E171)</f>
        <v>48</v>
      </c>
      <c r="F172" s="28"/>
      <c r="G172" s="28"/>
      <c r="H172" s="28"/>
      <c r="I172" s="28"/>
      <c r="J172" s="28"/>
      <c r="K172" s="28"/>
      <c r="L172" s="28"/>
      <c r="M172" s="28"/>
      <c r="N172" s="28"/>
      <c r="O172" s="28"/>
      <c r="P172" s="28"/>
      <c r="Q172" s="28"/>
      <c r="R172" s="28"/>
      <c r="S172" s="28"/>
      <c r="T172" s="28"/>
      <c r="U172" s="7"/>
      <c r="V172" s="28"/>
      <c r="W172" s="28"/>
      <c r="X172" s="2"/>
      <c r="Y172" s="2"/>
      <c r="Z172" s="2"/>
    </row>
    <row r="173" spans="1:26" ht="19.5" customHeight="1">
      <c r="A173" s="28"/>
      <c r="B173" s="28"/>
      <c r="C173" s="28"/>
      <c r="D173" s="29"/>
      <c r="E173" s="29"/>
      <c r="F173" s="28"/>
      <c r="G173" s="28"/>
      <c r="H173" s="28"/>
      <c r="I173" s="28"/>
      <c r="J173" s="28"/>
      <c r="K173" s="28"/>
      <c r="L173" s="28"/>
      <c r="M173" s="28"/>
      <c r="N173" s="28"/>
      <c r="O173" s="28"/>
      <c r="P173" s="28"/>
      <c r="Q173" s="28"/>
      <c r="R173" s="28"/>
      <c r="S173" s="28"/>
      <c r="T173" s="28"/>
      <c r="U173" s="7"/>
      <c r="V173" s="28"/>
      <c r="W173" s="28"/>
      <c r="X173" s="2"/>
      <c r="Y173" s="2"/>
      <c r="Z173" s="2"/>
    </row>
    <row r="174" spans="1:26" ht="19.5" customHeight="1">
      <c r="A174" s="28"/>
      <c r="B174" s="28"/>
      <c r="C174" s="28"/>
      <c r="D174" s="29"/>
      <c r="E174" s="29"/>
      <c r="F174" s="28"/>
      <c r="G174" s="28"/>
      <c r="H174" s="28"/>
      <c r="I174" s="28"/>
      <c r="J174" s="28"/>
      <c r="K174" s="28"/>
      <c r="L174" s="28"/>
      <c r="M174" s="28"/>
      <c r="N174" s="28"/>
      <c r="O174" s="28"/>
      <c r="P174" s="28"/>
      <c r="Q174" s="28"/>
      <c r="R174" s="28"/>
      <c r="S174" s="28"/>
      <c r="T174" s="28"/>
      <c r="U174" s="7"/>
      <c r="V174" s="28"/>
      <c r="W174" s="28"/>
      <c r="X174" s="2"/>
      <c r="Y174" s="2"/>
      <c r="Z174" s="2"/>
    </row>
    <row r="175" spans="1:26" ht="19.5" customHeight="1">
      <c r="A175" s="28"/>
      <c r="B175" s="28"/>
      <c r="C175" s="28"/>
      <c r="D175" s="29"/>
      <c r="E175" s="29"/>
      <c r="F175" s="28"/>
      <c r="G175" s="28"/>
      <c r="H175" s="28"/>
      <c r="I175" s="28"/>
      <c r="J175" s="28"/>
      <c r="K175" s="28"/>
      <c r="L175" s="28"/>
      <c r="M175" s="28"/>
      <c r="N175" s="28"/>
      <c r="O175" s="28"/>
      <c r="P175" s="28"/>
      <c r="Q175" s="28"/>
      <c r="R175" s="28"/>
      <c r="S175" s="28"/>
      <c r="T175" s="28"/>
      <c r="U175" s="7"/>
      <c r="V175" s="28"/>
      <c r="W175" s="28"/>
      <c r="X175" s="2"/>
      <c r="Y175" s="2"/>
      <c r="Z175" s="2"/>
    </row>
    <row r="176" spans="1:26" ht="19.5" customHeight="1">
      <c r="A176" s="28"/>
      <c r="B176" s="28"/>
      <c r="C176" s="28"/>
      <c r="D176" s="29"/>
      <c r="E176" s="29"/>
      <c r="F176" s="28"/>
      <c r="G176" s="28"/>
      <c r="H176" s="28"/>
      <c r="I176" s="28"/>
      <c r="J176" s="28"/>
      <c r="K176" s="28"/>
      <c r="L176" s="28"/>
      <c r="M176" s="28"/>
      <c r="N176" s="28"/>
      <c r="O176" s="28"/>
      <c r="P176" s="28"/>
      <c r="Q176" s="28"/>
      <c r="R176" s="28"/>
      <c r="S176" s="28"/>
      <c r="T176" s="28"/>
      <c r="U176" s="7"/>
      <c r="V176" s="28"/>
      <c r="W176" s="28"/>
      <c r="X176" s="2"/>
      <c r="Y176" s="2"/>
      <c r="Z176" s="2"/>
    </row>
    <row r="177" spans="1:26" ht="19.5" customHeight="1">
      <c r="A177" s="28"/>
      <c r="B177" s="28"/>
      <c r="C177" s="28"/>
      <c r="D177" s="29"/>
      <c r="E177" s="29"/>
      <c r="F177" s="28"/>
      <c r="G177" s="28"/>
      <c r="H177" s="28"/>
      <c r="I177" s="28"/>
      <c r="J177" s="28"/>
      <c r="K177" s="28"/>
      <c r="L177" s="28"/>
      <c r="M177" s="28"/>
      <c r="N177" s="28"/>
      <c r="O177" s="28"/>
      <c r="P177" s="28"/>
      <c r="Q177" s="28"/>
      <c r="R177" s="28"/>
      <c r="S177" s="28"/>
      <c r="T177" s="28"/>
      <c r="U177" s="7"/>
      <c r="V177" s="28"/>
      <c r="W177" s="28"/>
      <c r="X177" s="2"/>
      <c r="Y177" s="2"/>
      <c r="Z177" s="2"/>
    </row>
    <row r="178" spans="1:26" ht="19.5" customHeight="1">
      <c r="A178" s="28"/>
      <c r="B178" s="28"/>
      <c r="C178" s="28"/>
      <c r="D178" s="29"/>
      <c r="E178" s="29"/>
      <c r="F178" s="28"/>
      <c r="G178" s="28"/>
      <c r="H178" s="28"/>
      <c r="I178" s="28"/>
      <c r="J178" s="28"/>
      <c r="K178" s="28"/>
      <c r="L178" s="28"/>
      <c r="M178" s="28"/>
      <c r="N178" s="28"/>
      <c r="O178" s="28"/>
      <c r="P178" s="28"/>
      <c r="Q178" s="28"/>
      <c r="R178" s="28"/>
      <c r="S178" s="28"/>
      <c r="T178" s="28"/>
      <c r="U178" s="7"/>
      <c r="V178" s="28"/>
      <c r="W178" s="28"/>
      <c r="X178" s="2"/>
      <c r="Y178" s="2"/>
      <c r="Z178" s="2"/>
    </row>
    <row r="179" spans="1:26" ht="19.5" customHeight="1">
      <c r="A179" s="28"/>
      <c r="B179" s="28"/>
      <c r="C179" s="28"/>
      <c r="D179" s="29"/>
      <c r="E179" s="29"/>
      <c r="F179" s="28"/>
      <c r="G179" s="28"/>
      <c r="H179" s="28"/>
      <c r="I179" s="28"/>
      <c r="J179" s="28"/>
      <c r="K179" s="28"/>
      <c r="L179" s="28"/>
      <c r="M179" s="28"/>
      <c r="N179" s="28"/>
      <c r="O179" s="28"/>
      <c r="P179" s="28"/>
      <c r="Q179" s="28"/>
      <c r="R179" s="28"/>
      <c r="S179" s="28"/>
      <c r="T179" s="28"/>
      <c r="U179" s="7"/>
      <c r="V179" s="28"/>
      <c r="W179" s="28"/>
      <c r="X179" s="2"/>
      <c r="Y179" s="2"/>
      <c r="Z179" s="2"/>
    </row>
    <row r="180" spans="1:26" ht="19.5" customHeight="1">
      <c r="A180" s="28"/>
      <c r="B180" s="28"/>
      <c r="C180" s="28"/>
      <c r="D180" s="29"/>
      <c r="E180" s="29"/>
      <c r="F180" s="28"/>
      <c r="G180" s="28"/>
      <c r="H180" s="28"/>
      <c r="I180" s="28"/>
      <c r="J180" s="28"/>
      <c r="K180" s="28"/>
      <c r="L180" s="28"/>
      <c r="M180" s="28"/>
      <c r="N180" s="28"/>
      <c r="O180" s="28"/>
      <c r="P180" s="28"/>
      <c r="Q180" s="28"/>
      <c r="R180" s="28"/>
      <c r="S180" s="28"/>
      <c r="T180" s="28"/>
      <c r="U180" s="7"/>
      <c r="V180" s="28"/>
      <c r="W180" s="28"/>
      <c r="X180" s="2"/>
      <c r="Y180" s="2"/>
      <c r="Z180" s="2"/>
    </row>
    <row r="181" spans="1:26" ht="19.5" customHeight="1">
      <c r="A181" s="28"/>
      <c r="B181" s="28"/>
      <c r="C181" s="28"/>
      <c r="D181" s="29"/>
      <c r="E181" s="29"/>
      <c r="F181" s="28"/>
      <c r="G181" s="28"/>
      <c r="H181" s="28"/>
      <c r="I181" s="28"/>
      <c r="J181" s="28"/>
      <c r="K181" s="28"/>
      <c r="L181" s="28"/>
      <c r="M181" s="28"/>
      <c r="N181" s="28"/>
      <c r="O181" s="28"/>
      <c r="P181" s="28"/>
      <c r="Q181" s="28"/>
      <c r="R181" s="28"/>
      <c r="S181" s="28"/>
      <c r="T181" s="28"/>
      <c r="U181" s="7"/>
      <c r="V181" s="28"/>
      <c r="W181" s="28"/>
      <c r="X181" s="2"/>
      <c r="Y181" s="2"/>
      <c r="Z181" s="2"/>
    </row>
    <row r="182" spans="1:26" ht="19.5" customHeight="1">
      <c r="A182" s="28"/>
      <c r="B182" s="28"/>
      <c r="C182" s="28"/>
      <c r="D182" s="29"/>
      <c r="E182" s="29"/>
      <c r="F182" s="28"/>
      <c r="G182" s="28"/>
      <c r="H182" s="28"/>
      <c r="I182" s="28"/>
      <c r="J182" s="28"/>
      <c r="K182" s="28"/>
      <c r="L182" s="28"/>
      <c r="M182" s="28"/>
      <c r="N182" s="28"/>
      <c r="O182" s="28"/>
      <c r="P182" s="28"/>
      <c r="Q182" s="28"/>
      <c r="R182" s="28"/>
      <c r="S182" s="28"/>
      <c r="T182" s="28"/>
      <c r="U182" s="7"/>
      <c r="V182" s="28"/>
      <c r="W182" s="28"/>
      <c r="X182" s="2"/>
      <c r="Y182" s="2"/>
      <c r="Z182" s="2"/>
    </row>
    <row r="183" spans="1:26" ht="19.5" customHeight="1">
      <c r="A183" s="28"/>
      <c r="B183" s="28"/>
      <c r="C183" s="28"/>
      <c r="D183" s="29"/>
      <c r="E183" s="29"/>
      <c r="F183" s="28"/>
      <c r="G183" s="28"/>
      <c r="H183" s="28"/>
      <c r="I183" s="28"/>
      <c r="J183" s="28"/>
      <c r="K183" s="28"/>
      <c r="L183" s="28"/>
      <c r="M183" s="28"/>
      <c r="N183" s="28"/>
      <c r="O183" s="28"/>
      <c r="P183" s="28"/>
      <c r="Q183" s="28"/>
      <c r="R183" s="28"/>
      <c r="S183" s="28"/>
      <c r="T183" s="28"/>
      <c r="U183" s="7"/>
      <c r="V183" s="28"/>
      <c r="W183" s="28"/>
      <c r="X183" s="2"/>
      <c r="Y183" s="2"/>
      <c r="Z183" s="2"/>
    </row>
    <row r="184" spans="1:26" ht="19.5" customHeight="1">
      <c r="A184" s="28"/>
      <c r="B184" s="28"/>
      <c r="C184" s="28"/>
      <c r="D184" s="29"/>
      <c r="E184" s="29"/>
      <c r="F184" s="28"/>
      <c r="G184" s="28"/>
      <c r="H184" s="28"/>
      <c r="I184" s="28"/>
      <c r="J184" s="28"/>
      <c r="K184" s="28"/>
      <c r="L184" s="28"/>
      <c r="M184" s="28"/>
      <c r="N184" s="28"/>
      <c r="O184" s="28"/>
      <c r="P184" s="28"/>
      <c r="Q184" s="28"/>
      <c r="R184" s="28"/>
      <c r="S184" s="28"/>
      <c r="T184" s="28"/>
      <c r="U184" s="7"/>
      <c r="V184" s="28"/>
      <c r="W184" s="28"/>
      <c r="X184" s="2"/>
      <c r="Y184" s="2"/>
      <c r="Z184" s="2"/>
    </row>
    <row r="185" spans="1:26" ht="19.5" customHeight="1">
      <c r="A185" s="28"/>
      <c r="B185" s="28"/>
      <c r="C185" s="28"/>
      <c r="D185" s="29"/>
      <c r="E185" s="29"/>
      <c r="F185" s="28"/>
      <c r="G185" s="28"/>
      <c r="H185" s="28"/>
      <c r="I185" s="28"/>
      <c r="J185" s="28"/>
      <c r="K185" s="28"/>
      <c r="L185" s="28"/>
      <c r="M185" s="28"/>
      <c r="N185" s="28"/>
      <c r="O185" s="28"/>
      <c r="P185" s="28"/>
      <c r="Q185" s="28"/>
      <c r="R185" s="28"/>
      <c r="S185" s="28"/>
      <c r="T185" s="28"/>
      <c r="U185" s="7"/>
      <c r="V185" s="28"/>
      <c r="W185" s="28"/>
      <c r="X185" s="2"/>
      <c r="Y185" s="2"/>
      <c r="Z185" s="2"/>
    </row>
    <row r="186" spans="1:26" ht="19.5" customHeight="1">
      <c r="A186" s="28"/>
      <c r="B186" s="28"/>
      <c r="C186" s="28"/>
      <c r="D186" s="29"/>
      <c r="E186" s="29"/>
      <c r="F186" s="28"/>
      <c r="G186" s="28"/>
      <c r="H186" s="28"/>
      <c r="I186" s="28"/>
      <c r="J186" s="28"/>
      <c r="K186" s="28"/>
      <c r="L186" s="28"/>
      <c r="M186" s="28"/>
      <c r="N186" s="28"/>
      <c r="O186" s="28"/>
      <c r="P186" s="28"/>
      <c r="Q186" s="28"/>
      <c r="R186" s="28"/>
      <c r="S186" s="28"/>
      <c r="T186" s="28"/>
      <c r="U186" s="7"/>
      <c r="V186" s="28"/>
      <c r="W186" s="28"/>
      <c r="X186" s="2"/>
      <c r="Y186" s="2"/>
      <c r="Z186" s="2"/>
    </row>
    <row r="187" spans="1:26" ht="19.5" customHeight="1">
      <c r="A187" s="28"/>
      <c r="B187" s="28"/>
      <c r="C187" s="28"/>
      <c r="D187" s="29"/>
      <c r="E187" s="29"/>
      <c r="F187" s="28"/>
      <c r="G187" s="28"/>
      <c r="H187" s="28"/>
      <c r="I187" s="28"/>
      <c r="J187" s="28"/>
      <c r="K187" s="28"/>
      <c r="L187" s="28"/>
      <c r="M187" s="28"/>
      <c r="N187" s="28"/>
      <c r="O187" s="28"/>
      <c r="P187" s="28"/>
      <c r="Q187" s="28"/>
      <c r="R187" s="28"/>
      <c r="S187" s="28"/>
      <c r="T187" s="28"/>
      <c r="U187" s="7"/>
      <c r="V187" s="28"/>
      <c r="W187" s="28"/>
      <c r="X187" s="2"/>
      <c r="Y187" s="2"/>
      <c r="Z187" s="2"/>
    </row>
    <row r="188" spans="1:26" ht="19.5" customHeight="1">
      <c r="A188" s="28"/>
      <c r="B188" s="28"/>
      <c r="C188" s="28"/>
      <c r="D188" s="29"/>
      <c r="E188" s="29"/>
      <c r="F188" s="28"/>
      <c r="G188" s="28"/>
      <c r="H188" s="28"/>
      <c r="I188" s="28"/>
      <c r="J188" s="28"/>
      <c r="K188" s="28"/>
      <c r="L188" s="28"/>
      <c r="M188" s="28"/>
      <c r="N188" s="28"/>
      <c r="O188" s="28"/>
      <c r="P188" s="28"/>
      <c r="Q188" s="28"/>
      <c r="R188" s="28"/>
      <c r="S188" s="28"/>
      <c r="T188" s="28"/>
      <c r="U188" s="7"/>
      <c r="V188" s="28"/>
      <c r="W188" s="28"/>
      <c r="X188" s="2"/>
      <c r="Y188" s="2"/>
      <c r="Z188" s="2"/>
    </row>
    <row r="189" spans="1:26" ht="19.5" customHeight="1">
      <c r="A189" s="28"/>
      <c r="B189" s="28"/>
      <c r="C189" s="28"/>
      <c r="D189" s="29"/>
      <c r="E189" s="29"/>
      <c r="F189" s="28"/>
      <c r="G189" s="28"/>
      <c r="H189" s="28"/>
      <c r="I189" s="28"/>
      <c r="J189" s="28"/>
      <c r="K189" s="28"/>
      <c r="L189" s="28"/>
      <c r="M189" s="28"/>
      <c r="N189" s="28"/>
      <c r="O189" s="28"/>
      <c r="P189" s="28"/>
      <c r="Q189" s="28"/>
      <c r="R189" s="28"/>
      <c r="S189" s="28"/>
      <c r="T189" s="28"/>
      <c r="U189" s="7"/>
      <c r="V189" s="28"/>
      <c r="W189" s="28"/>
      <c r="X189" s="2"/>
      <c r="Y189" s="2"/>
      <c r="Z189" s="2"/>
    </row>
    <row r="190" spans="1:26" ht="19.5" customHeight="1">
      <c r="A190" s="28"/>
      <c r="B190" s="28"/>
      <c r="C190" s="28"/>
      <c r="D190" s="29"/>
      <c r="E190" s="29"/>
      <c r="F190" s="28"/>
      <c r="G190" s="28"/>
      <c r="H190" s="28"/>
      <c r="I190" s="28"/>
      <c r="J190" s="28"/>
      <c r="K190" s="28"/>
      <c r="L190" s="28"/>
      <c r="M190" s="28"/>
      <c r="N190" s="28"/>
      <c r="O190" s="28"/>
      <c r="P190" s="28"/>
      <c r="Q190" s="28"/>
      <c r="R190" s="28"/>
      <c r="S190" s="28"/>
      <c r="T190" s="28"/>
      <c r="U190" s="7"/>
      <c r="V190" s="28"/>
      <c r="W190" s="28"/>
      <c r="X190" s="2"/>
      <c r="Y190" s="2"/>
      <c r="Z190" s="2"/>
    </row>
    <row r="191" spans="1:26" ht="19.5" customHeight="1">
      <c r="A191" s="28"/>
      <c r="B191" s="28"/>
      <c r="C191" s="28"/>
      <c r="D191" s="29"/>
      <c r="E191" s="29"/>
      <c r="F191" s="28"/>
      <c r="G191" s="28"/>
      <c r="H191" s="28"/>
      <c r="I191" s="28"/>
      <c r="J191" s="28"/>
      <c r="K191" s="28"/>
      <c r="L191" s="28"/>
      <c r="M191" s="28"/>
      <c r="N191" s="28"/>
      <c r="O191" s="28"/>
      <c r="P191" s="28"/>
      <c r="Q191" s="28"/>
      <c r="R191" s="28"/>
      <c r="S191" s="28"/>
      <c r="T191" s="28"/>
      <c r="U191" s="7"/>
      <c r="V191" s="28"/>
      <c r="W191" s="28"/>
      <c r="X191" s="2"/>
      <c r="Y191" s="2"/>
      <c r="Z191" s="2"/>
    </row>
    <row r="192" spans="1:26" ht="19.5" customHeight="1">
      <c r="A192" s="28"/>
      <c r="B192" s="28"/>
      <c r="C192" s="28"/>
      <c r="D192" s="29"/>
      <c r="E192" s="29"/>
      <c r="F192" s="28"/>
      <c r="G192" s="28"/>
      <c r="H192" s="28"/>
      <c r="I192" s="28"/>
      <c r="J192" s="28"/>
      <c r="K192" s="28"/>
      <c r="L192" s="28"/>
      <c r="M192" s="28"/>
      <c r="N192" s="28"/>
      <c r="O192" s="28"/>
      <c r="P192" s="28"/>
      <c r="Q192" s="28"/>
      <c r="R192" s="28"/>
      <c r="S192" s="28"/>
      <c r="T192" s="28"/>
      <c r="U192" s="7"/>
      <c r="V192" s="28"/>
      <c r="W192" s="28"/>
      <c r="X192" s="2"/>
      <c r="Y192" s="2"/>
      <c r="Z192" s="2"/>
    </row>
    <row r="193" spans="1:26" ht="19.5" customHeight="1">
      <c r="A193" s="28"/>
      <c r="B193" s="28"/>
      <c r="C193" s="28"/>
      <c r="D193" s="29"/>
      <c r="E193" s="29"/>
      <c r="F193" s="28"/>
      <c r="G193" s="28"/>
      <c r="H193" s="28"/>
      <c r="I193" s="28"/>
      <c r="J193" s="28"/>
      <c r="K193" s="28"/>
      <c r="L193" s="28"/>
      <c r="M193" s="28"/>
      <c r="N193" s="28"/>
      <c r="O193" s="28"/>
      <c r="P193" s="28"/>
      <c r="Q193" s="28"/>
      <c r="R193" s="28"/>
      <c r="S193" s="28"/>
      <c r="T193" s="28"/>
      <c r="U193" s="7"/>
      <c r="V193" s="28"/>
      <c r="W193" s="28"/>
      <c r="X193" s="2"/>
      <c r="Y193" s="2"/>
      <c r="Z193" s="2"/>
    </row>
    <row r="194" spans="1:26" ht="19.5" customHeight="1">
      <c r="A194" s="28"/>
      <c r="B194" s="28"/>
      <c r="C194" s="28"/>
      <c r="D194" s="29"/>
      <c r="E194" s="29"/>
      <c r="F194" s="28"/>
      <c r="G194" s="28"/>
      <c r="H194" s="28"/>
      <c r="I194" s="28"/>
      <c r="J194" s="28"/>
      <c r="K194" s="28"/>
      <c r="L194" s="28"/>
      <c r="M194" s="28"/>
      <c r="N194" s="28"/>
      <c r="O194" s="28"/>
      <c r="P194" s="28"/>
      <c r="Q194" s="28"/>
      <c r="R194" s="28"/>
      <c r="S194" s="28"/>
      <c r="T194" s="28"/>
      <c r="U194" s="7"/>
      <c r="V194" s="28"/>
      <c r="W194" s="28"/>
      <c r="X194" s="2"/>
      <c r="Y194" s="2"/>
      <c r="Z194" s="2"/>
    </row>
    <row r="195" spans="1:26" ht="19.5" customHeight="1">
      <c r="A195" s="28"/>
      <c r="B195" s="28"/>
      <c r="C195" s="28"/>
      <c r="D195" s="29"/>
      <c r="E195" s="29"/>
      <c r="F195" s="28"/>
      <c r="G195" s="28"/>
      <c r="H195" s="28"/>
      <c r="I195" s="28"/>
      <c r="J195" s="28"/>
      <c r="K195" s="28"/>
      <c r="L195" s="28"/>
      <c r="M195" s="28"/>
      <c r="N195" s="28"/>
      <c r="O195" s="28"/>
      <c r="P195" s="28"/>
      <c r="Q195" s="28"/>
      <c r="R195" s="28"/>
      <c r="S195" s="28"/>
      <c r="T195" s="28"/>
      <c r="U195" s="7"/>
      <c r="V195" s="28"/>
      <c r="W195" s="28"/>
      <c r="X195" s="2"/>
      <c r="Y195" s="2"/>
      <c r="Z195" s="2"/>
    </row>
    <row r="196" spans="1:26" ht="19.5" customHeight="1">
      <c r="A196" s="28"/>
      <c r="B196" s="28"/>
      <c r="C196" s="28"/>
      <c r="D196" s="29"/>
      <c r="E196" s="29"/>
      <c r="F196" s="28"/>
      <c r="G196" s="28"/>
      <c r="H196" s="28"/>
      <c r="I196" s="28"/>
      <c r="J196" s="28"/>
      <c r="K196" s="28"/>
      <c r="L196" s="28"/>
      <c r="M196" s="28"/>
      <c r="N196" s="28"/>
      <c r="O196" s="28"/>
      <c r="P196" s="28"/>
      <c r="Q196" s="28"/>
      <c r="R196" s="28"/>
      <c r="S196" s="28"/>
      <c r="T196" s="28"/>
      <c r="U196" s="7"/>
      <c r="V196" s="28"/>
      <c r="W196" s="28"/>
      <c r="X196" s="2"/>
      <c r="Y196" s="2"/>
      <c r="Z196" s="2"/>
    </row>
    <row r="197" spans="1:26" ht="19.5" customHeight="1">
      <c r="A197" s="28"/>
      <c r="B197" s="28"/>
      <c r="C197" s="28"/>
      <c r="D197" s="29"/>
      <c r="E197" s="29"/>
      <c r="F197" s="28"/>
      <c r="G197" s="28"/>
      <c r="H197" s="28"/>
      <c r="I197" s="28"/>
      <c r="J197" s="28"/>
      <c r="K197" s="28"/>
      <c r="L197" s="28"/>
      <c r="M197" s="28"/>
      <c r="N197" s="28"/>
      <c r="O197" s="28"/>
      <c r="P197" s="28"/>
      <c r="Q197" s="28"/>
      <c r="R197" s="28"/>
      <c r="S197" s="28"/>
      <c r="T197" s="28"/>
      <c r="U197" s="7"/>
      <c r="V197" s="28"/>
      <c r="W197" s="28"/>
      <c r="X197" s="2"/>
      <c r="Y197" s="2"/>
      <c r="Z197" s="2"/>
    </row>
    <row r="198" spans="1:26" ht="19.5" customHeight="1">
      <c r="A198" s="28"/>
      <c r="B198" s="28"/>
      <c r="C198" s="28"/>
      <c r="D198" s="29"/>
      <c r="E198" s="29"/>
      <c r="F198" s="28"/>
      <c r="G198" s="28"/>
      <c r="H198" s="28"/>
      <c r="I198" s="28"/>
      <c r="J198" s="28"/>
      <c r="K198" s="28"/>
      <c r="L198" s="28"/>
      <c r="M198" s="28"/>
      <c r="N198" s="28"/>
      <c r="O198" s="28"/>
      <c r="P198" s="28"/>
      <c r="Q198" s="28"/>
      <c r="R198" s="28"/>
      <c r="S198" s="28"/>
      <c r="T198" s="28"/>
      <c r="U198" s="7"/>
      <c r="V198" s="28"/>
      <c r="W198" s="28"/>
      <c r="X198" s="2"/>
      <c r="Y198" s="2"/>
      <c r="Z198" s="2"/>
    </row>
    <row r="199" spans="1:26" ht="19.5" customHeight="1">
      <c r="A199" s="28"/>
      <c r="B199" s="28"/>
      <c r="C199" s="28"/>
      <c r="D199" s="29"/>
      <c r="E199" s="29"/>
      <c r="F199" s="28"/>
      <c r="G199" s="28"/>
      <c r="H199" s="28"/>
      <c r="I199" s="28"/>
      <c r="J199" s="28"/>
      <c r="K199" s="28"/>
      <c r="L199" s="28"/>
      <c r="M199" s="28"/>
      <c r="N199" s="28"/>
      <c r="O199" s="28"/>
      <c r="P199" s="28"/>
      <c r="Q199" s="28"/>
      <c r="R199" s="28"/>
      <c r="S199" s="28"/>
      <c r="T199" s="28"/>
      <c r="U199" s="7"/>
      <c r="V199" s="28"/>
      <c r="W199" s="28"/>
      <c r="X199" s="2"/>
      <c r="Y199" s="2"/>
      <c r="Z199" s="2"/>
    </row>
    <row r="200" spans="1:26" ht="19.5" customHeight="1">
      <c r="A200" s="28"/>
      <c r="B200" s="28"/>
      <c r="C200" s="28"/>
      <c r="D200" s="29"/>
      <c r="E200" s="29"/>
      <c r="F200" s="28"/>
      <c r="G200" s="28"/>
      <c r="H200" s="28"/>
      <c r="I200" s="28"/>
      <c r="J200" s="28"/>
      <c r="K200" s="28"/>
      <c r="L200" s="28"/>
      <c r="M200" s="28"/>
      <c r="N200" s="28"/>
      <c r="O200" s="28"/>
      <c r="P200" s="28"/>
      <c r="Q200" s="28"/>
      <c r="R200" s="28"/>
      <c r="S200" s="28"/>
      <c r="T200" s="28"/>
      <c r="U200" s="7"/>
      <c r="V200" s="28"/>
      <c r="W200" s="28"/>
      <c r="X200" s="2"/>
      <c r="Y200" s="2"/>
      <c r="Z200" s="2"/>
    </row>
    <row r="201" spans="1:26" ht="19.5" customHeight="1">
      <c r="A201" s="28"/>
      <c r="B201" s="28"/>
      <c r="C201" s="28"/>
      <c r="D201" s="29"/>
      <c r="E201" s="29"/>
      <c r="F201" s="28"/>
      <c r="G201" s="28"/>
      <c r="H201" s="28"/>
      <c r="I201" s="28"/>
      <c r="J201" s="28"/>
      <c r="K201" s="28"/>
      <c r="L201" s="28"/>
      <c r="M201" s="28"/>
      <c r="N201" s="28"/>
      <c r="O201" s="28"/>
      <c r="P201" s="28"/>
      <c r="Q201" s="28"/>
      <c r="R201" s="28"/>
      <c r="S201" s="28"/>
      <c r="T201" s="28"/>
      <c r="U201" s="7"/>
      <c r="V201" s="28"/>
      <c r="W201" s="28"/>
      <c r="X201" s="2"/>
      <c r="Y201" s="2"/>
      <c r="Z201" s="2"/>
    </row>
    <row r="202" spans="1:26" ht="19.5" customHeight="1">
      <c r="A202" s="28"/>
      <c r="B202" s="28"/>
      <c r="C202" s="28"/>
      <c r="D202" s="29"/>
      <c r="E202" s="29"/>
      <c r="F202" s="28"/>
      <c r="G202" s="28"/>
      <c r="H202" s="28"/>
      <c r="I202" s="28"/>
      <c r="J202" s="28"/>
      <c r="K202" s="28"/>
      <c r="L202" s="28"/>
      <c r="M202" s="28"/>
      <c r="N202" s="28"/>
      <c r="O202" s="28"/>
      <c r="P202" s="28"/>
      <c r="Q202" s="28"/>
      <c r="R202" s="28"/>
      <c r="S202" s="28"/>
      <c r="T202" s="28"/>
      <c r="U202" s="7"/>
      <c r="V202" s="28"/>
      <c r="W202" s="28"/>
      <c r="X202" s="2"/>
      <c r="Y202" s="2"/>
      <c r="Z202" s="2"/>
    </row>
    <row r="203" spans="1:26" ht="19.5" customHeight="1">
      <c r="A203" s="28"/>
      <c r="B203" s="28"/>
      <c r="C203" s="28"/>
      <c r="D203" s="29"/>
      <c r="E203" s="29"/>
      <c r="F203" s="28"/>
      <c r="G203" s="28"/>
      <c r="H203" s="28"/>
      <c r="I203" s="28"/>
      <c r="J203" s="28"/>
      <c r="K203" s="28"/>
      <c r="L203" s="28"/>
      <c r="M203" s="28"/>
      <c r="N203" s="28"/>
      <c r="O203" s="28"/>
      <c r="P203" s="28"/>
      <c r="Q203" s="28"/>
      <c r="R203" s="28"/>
      <c r="S203" s="28"/>
      <c r="T203" s="28"/>
      <c r="U203" s="7"/>
      <c r="V203" s="28"/>
      <c r="W203" s="28"/>
      <c r="X203" s="2"/>
      <c r="Y203" s="2"/>
      <c r="Z203" s="2"/>
    </row>
    <row r="204" spans="1:26" ht="19.5" customHeight="1">
      <c r="A204" s="28"/>
      <c r="B204" s="28"/>
      <c r="C204" s="28"/>
      <c r="D204" s="29"/>
      <c r="E204" s="29"/>
      <c r="F204" s="28"/>
      <c r="G204" s="28"/>
      <c r="H204" s="28"/>
      <c r="I204" s="28"/>
      <c r="J204" s="28"/>
      <c r="K204" s="28"/>
      <c r="L204" s="28"/>
      <c r="M204" s="28"/>
      <c r="N204" s="28"/>
      <c r="O204" s="28"/>
      <c r="P204" s="28"/>
      <c r="Q204" s="28"/>
      <c r="R204" s="28"/>
      <c r="S204" s="28"/>
      <c r="T204" s="28"/>
      <c r="U204" s="7"/>
      <c r="V204" s="28"/>
      <c r="W204" s="28"/>
      <c r="X204" s="2"/>
      <c r="Y204" s="2"/>
      <c r="Z204" s="2"/>
    </row>
    <row r="205" spans="1:26" ht="19.5" customHeight="1">
      <c r="A205" s="28"/>
      <c r="B205" s="28"/>
      <c r="C205" s="28"/>
      <c r="D205" s="29"/>
      <c r="E205" s="29"/>
      <c r="F205" s="28"/>
      <c r="G205" s="28"/>
      <c r="H205" s="28"/>
      <c r="I205" s="28"/>
      <c r="J205" s="28"/>
      <c r="K205" s="28"/>
      <c r="L205" s="28"/>
      <c r="M205" s="28"/>
      <c r="N205" s="28"/>
      <c r="O205" s="28"/>
      <c r="P205" s="28"/>
      <c r="Q205" s="28"/>
      <c r="R205" s="28"/>
      <c r="S205" s="28"/>
      <c r="T205" s="28"/>
      <c r="U205" s="7"/>
      <c r="V205" s="28"/>
      <c r="W205" s="28"/>
      <c r="X205" s="2"/>
      <c r="Y205" s="2"/>
      <c r="Z205" s="2"/>
    </row>
    <row r="206" spans="1:26" ht="19.5" customHeight="1">
      <c r="A206" s="28"/>
      <c r="B206" s="28"/>
      <c r="C206" s="28"/>
      <c r="D206" s="29"/>
      <c r="E206" s="29"/>
      <c r="F206" s="28"/>
      <c r="G206" s="28"/>
      <c r="H206" s="28"/>
      <c r="I206" s="28"/>
      <c r="J206" s="28"/>
      <c r="K206" s="28"/>
      <c r="L206" s="28"/>
      <c r="M206" s="28"/>
      <c r="N206" s="28"/>
      <c r="O206" s="28"/>
      <c r="P206" s="28"/>
      <c r="Q206" s="28"/>
      <c r="R206" s="28"/>
      <c r="S206" s="28"/>
      <c r="T206" s="28"/>
      <c r="U206" s="7"/>
      <c r="V206" s="28"/>
      <c r="W206" s="28"/>
      <c r="X206" s="2"/>
      <c r="Y206" s="2"/>
      <c r="Z206" s="2"/>
    </row>
    <row r="207" spans="1:26" ht="19.5" customHeight="1">
      <c r="A207" s="28"/>
      <c r="B207" s="28"/>
      <c r="C207" s="28"/>
      <c r="D207" s="29"/>
      <c r="E207" s="29"/>
      <c r="F207" s="28"/>
      <c r="G207" s="28"/>
      <c r="H207" s="28"/>
      <c r="I207" s="28"/>
      <c r="J207" s="28"/>
      <c r="K207" s="28"/>
      <c r="L207" s="28"/>
      <c r="M207" s="28"/>
      <c r="N207" s="28"/>
      <c r="O207" s="28"/>
      <c r="P207" s="28"/>
      <c r="Q207" s="28"/>
      <c r="R207" s="28"/>
      <c r="S207" s="28"/>
      <c r="T207" s="28"/>
      <c r="U207" s="7"/>
      <c r="V207" s="28"/>
      <c r="W207" s="28"/>
      <c r="X207" s="2"/>
      <c r="Y207" s="2"/>
      <c r="Z207" s="2"/>
    </row>
    <row r="208" spans="1:26" ht="19.5" customHeight="1">
      <c r="A208" s="28"/>
      <c r="B208" s="28"/>
      <c r="C208" s="28"/>
      <c r="D208" s="29"/>
      <c r="E208" s="29"/>
      <c r="F208" s="28"/>
      <c r="G208" s="28"/>
      <c r="H208" s="28"/>
      <c r="I208" s="28"/>
      <c r="J208" s="28"/>
      <c r="K208" s="28"/>
      <c r="L208" s="28"/>
      <c r="M208" s="28"/>
      <c r="N208" s="28"/>
      <c r="O208" s="28"/>
      <c r="P208" s="28"/>
      <c r="Q208" s="28"/>
      <c r="R208" s="28"/>
      <c r="S208" s="28"/>
      <c r="T208" s="28"/>
      <c r="U208" s="7"/>
      <c r="V208" s="28"/>
      <c r="W208" s="28"/>
      <c r="X208" s="2"/>
      <c r="Y208" s="2"/>
      <c r="Z208" s="2"/>
    </row>
    <row r="209" spans="1:26" ht="19.5" customHeight="1">
      <c r="A209" s="28"/>
      <c r="B209" s="28"/>
      <c r="C209" s="28"/>
      <c r="D209" s="29"/>
      <c r="E209" s="29"/>
      <c r="F209" s="28"/>
      <c r="G209" s="28"/>
      <c r="H209" s="28"/>
      <c r="I209" s="28"/>
      <c r="J209" s="28"/>
      <c r="K209" s="28"/>
      <c r="L209" s="28"/>
      <c r="M209" s="28"/>
      <c r="N209" s="28"/>
      <c r="O209" s="28"/>
      <c r="P209" s="28"/>
      <c r="Q209" s="28"/>
      <c r="R209" s="28"/>
      <c r="S209" s="28"/>
      <c r="T209" s="28"/>
      <c r="U209" s="7"/>
      <c r="V209" s="28"/>
      <c r="W209" s="28"/>
      <c r="X209" s="2"/>
      <c r="Y209" s="2"/>
      <c r="Z209" s="2"/>
    </row>
    <row r="210" spans="1:26" ht="19.5" customHeight="1">
      <c r="A210" s="28"/>
      <c r="B210" s="28"/>
      <c r="C210" s="28"/>
      <c r="D210" s="29"/>
      <c r="E210" s="29"/>
      <c r="F210" s="28"/>
      <c r="G210" s="28"/>
      <c r="H210" s="28"/>
      <c r="I210" s="28"/>
      <c r="J210" s="28"/>
      <c r="K210" s="28"/>
      <c r="L210" s="28"/>
      <c r="M210" s="28"/>
      <c r="N210" s="28"/>
      <c r="O210" s="28"/>
      <c r="P210" s="28"/>
      <c r="Q210" s="28"/>
      <c r="R210" s="28"/>
      <c r="S210" s="28"/>
      <c r="T210" s="28"/>
      <c r="U210" s="7"/>
      <c r="V210" s="28"/>
      <c r="W210" s="28"/>
      <c r="X210" s="2"/>
      <c r="Y210" s="2"/>
      <c r="Z210" s="2"/>
    </row>
    <row r="211" spans="1:26" ht="19.5" customHeight="1">
      <c r="A211" s="28"/>
      <c r="B211" s="28"/>
      <c r="C211" s="28"/>
      <c r="D211" s="29"/>
      <c r="E211" s="29"/>
      <c r="F211" s="28"/>
      <c r="G211" s="28"/>
      <c r="H211" s="28"/>
      <c r="I211" s="28"/>
      <c r="J211" s="28"/>
      <c r="K211" s="28"/>
      <c r="L211" s="28"/>
      <c r="M211" s="28"/>
      <c r="N211" s="28"/>
      <c r="O211" s="28"/>
      <c r="P211" s="28"/>
      <c r="Q211" s="28"/>
      <c r="R211" s="28"/>
      <c r="S211" s="28"/>
      <c r="T211" s="28"/>
      <c r="U211" s="7"/>
      <c r="V211" s="28"/>
      <c r="W211" s="28"/>
      <c r="X211" s="2"/>
      <c r="Y211" s="2"/>
      <c r="Z211" s="2"/>
    </row>
    <row r="212" spans="1:26" ht="19.5" customHeight="1">
      <c r="A212" s="28"/>
      <c r="B212" s="28"/>
      <c r="C212" s="28"/>
      <c r="D212" s="29"/>
      <c r="E212" s="29"/>
      <c r="F212" s="28"/>
      <c r="G212" s="28"/>
      <c r="H212" s="28"/>
      <c r="I212" s="28"/>
      <c r="J212" s="28"/>
      <c r="K212" s="28"/>
      <c r="L212" s="28"/>
      <c r="M212" s="28"/>
      <c r="N212" s="28"/>
      <c r="O212" s="28"/>
      <c r="P212" s="28"/>
      <c r="Q212" s="28"/>
      <c r="R212" s="28"/>
      <c r="S212" s="28"/>
      <c r="T212" s="28"/>
      <c r="U212" s="7"/>
      <c r="V212" s="28"/>
      <c r="W212" s="28"/>
      <c r="X212" s="2"/>
      <c r="Y212" s="2"/>
      <c r="Z212" s="2"/>
    </row>
    <row r="213" spans="1:26" ht="19.5" customHeight="1">
      <c r="A213" s="28"/>
      <c r="B213" s="28"/>
      <c r="C213" s="28"/>
      <c r="D213" s="29"/>
      <c r="E213" s="29"/>
      <c r="F213" s="28"/>
      <c r="G213" s="28"/>
      <c r="H213" s="28"/>
      <c r="I213" s="28"/>
      <c r="J213" s="28"/>
      <c r="K213" s="28"/>
      <c r="L213" s="28"/>
      <c r="M213" s="28"/>
      <c r="N213" s="28"/>
      <c r="O213" s="28"/>
      <c r="P213" s="28"/>
      <c r="Q213" s="28"/>
      <c r="R213" s="28"/>
      <c r="S213" s="28"/>
      <c r="T213" s="28"/>
      <c r="U213" s="7"/>
      <c r="V213" s="28"/>
      <c r="W213" s="28"/>
      <c r="X213" s="2"/>
      <c r="Y213" s="2"/>
      <c r="Z213" s="2"/>
    </row>
    <row r="214" spans="1:26" ht="19.5" customHeight="1">
      <c r="A214" s="28"/>
      <c r="B214" s="28"/>
      <c r="C214" s="28"/>
      <c r="D214" s="29"/>
      <c r="E214" s="29"/>
      <c r="F214" s="28"/>
      <c r="G214" s="28"/>
      <c r="H214" s="28"/>
      <c r="I214" s="28"/>
      <c r="J214" s="28"/>
      <c r="K214" s="28"/>
      <c r="L214" s="28"/>
      <c r="M214" s="28"/>
      <c r="N214" s="28"/>
      <c r="O214" s="28"/>
      <c r="P214" s="28"/>
      <c r="Q214" s="28"/>
      <c r="R214" s="28"/>
      <c r="S214" s="28"/>
      <c r="T214" s="28"/>
      <c r="U214" s="7"/>
      <c r="V214" s="28"/>
      <c r="W214" s="28"/>
      <c r="X214" s="2"/>
      <c r="Y214" s="2"/>
      <c r="Z214" s="2"/>
    </row>
    <row r="215" spans="1:26" ht="19.5" customHeight="1">
      <c r="A215" s="28"/>
      <c r="B215" s="28"/>
      <c r="C215" s="28"/>
      <c r="D215" s="29"/>
      <c r="E215" s="29"/>
      <c r="F215" s="28"/>
      <c r="G215" s="28"/>
      <c r="H215" s="28"/>
      <c r="I215" s="28"/>
      <c r="J215" s="28"/>
      <c r="K215" s="28"/>
      <c r="L215" s="28"/>
      <c r="M215" s="28"/>
      <c r="N215" s="28"/>
      <c r="O215" s="28"/>
      <c r="P215" s="28"/>
      <c r="Q215" s="28"/>
      <c r="R215" s="28"/>
      <c r="S215" s="28"/>
      <c r="T215" s="28"/>
      <c r="U215" s="7"/>
      <c r="V215" s="28"/>
      <c r="W215" s="28"/>
      <c r="X215" s="2"/>
      <c r="Y215" s="2"/>
      <c r="Z215" s="2"/>
    </row>
    <row r="216" spans="1:26" ht="19.5" customHeight="1">
      <c r="A216" s="28"/>
      <c r="B216" s="28"/>
      <c r="C216" s="28"/>
      <c r="D216" s="29"/>
      <c r="E216" s="29"/>
      <c r="F216" s="28"/>
      <c r="G216" s="28"/>
      <c r="H216" s="28"/>
      <c r="I216" s="28"/>
      <c r="J216" s="28"/>
      <c r="K216" s="28"/>
      <c r="L216" s="28"/>
      <c r="M216" s="28"/>
      <c r="N216" s="28"/>
      <c r="O216" s="28"/>
      <c r="P216" s="28"/>
      <c r="Q216" s="28"/>
      <c r="R216" s="28"/>
      <c r="S216" s="28"/>
      <c r="T216" s="28"/>
      <c r="U216" s="7"/>
      <c r="V216" s="28"/>
      <c r="W216" s="28"/>
      <c r="X216" s="2"/>
      <c r="Y216" s="2"/>
      <c r="Z216" s="2"/>
    </row>
    <row r="217" spans="1:26" ht="19.5" customHeight="1">
      <c r="A217" s="28"/>
      <c r="B217" s="28"/>
      <c r="C217" s="28"/>
      <c r="D217" s="29"/>
      <c r="E217" s="29"/>
      <c r="F217" s="28"/>
      <c r="G217" s="28"/>
      <c r="H217" s="28"/>
      <c r="I217" s="28"/>
      <c r="J217" s="28"/>
      <c r="K217" s="28"/>
      <c r="L217" s="28"/>
      <c r="M217" s="28"/>
      <c r="N217" s="28"/>
      <c r="O217" s="28"/>
      <c r="P217" s="28"/>
      <c r="Q217" s="28"/>
      <c r="R217" s="28"/>
      <c r="S217" s="28"/>
      <c r="T217" s="28"/>
      <c r="U217" s="7"/>
      <c r="V217" s="28"/>
      <c r="W217" s="28"/>
      <c r="X217" s="2"/>
      <c r="Y217" s="2"/>
      <c r="Z217" s="2"/>
    </row>
    <row r="218" spans="1:26" ht="19.5" customHeight="1">
      <c r="A218" s="28"/>
      <c r="B218" s="28"/>
      <c r="C218" s="28"/>
      <c r="D218" s="29"/>
      <c r="E218" s="29"/>
      <c r="F218" s="28"/>
      <c r="G218" s="28"/>
      <c r="H218" s="28"/>
      <c r="I218" s="28"/>
      <c r="J218" s="28"/>
      <c r="K218" s="28"/>
      <c r="L218" s="28"/>
      <c r="M218" s="28"/>
      <c r="N218" s="28"/>
      <c r="O218" s="28"/>
      <c r="P218" s="28"/>
      <c r="Q218" s="28"/>
      <c r="R218" s="28"/>
      <c r="S218" s="28"/>
      <c r="T218" s="28"/>
      <c r="U218" s="7"/>
      <c r="V218" s="28"/>
      <c r="W218" s="28"/>
      <c r="X218" s="2"/>
      <c r="Y218" s="2"/>
      <c r="Z218" s="2"/>
    </row>
    <row r="219" spans="1:26" ht="19.5" customHeight="1">
      <c r="A219" s="28"/>
      <c r="B219" s="28"/>
      <c r="C219" s="28"/>
      <c r="D219" s="29"/>
      <c r="E219" s="29"/>
      <c r="F219" s="28"/>
      <c r="G219" s="28"/>
      <c r="H219" s="28"/>
      <c r="I219" s="28"/>
      <c r="J219" s="28"/>
      <c r="K219" s="28"/>
      <c r="L219" s="28"/>
      <c r="M219" s="28"/>
      <c r="N219" s="28"/>
      <c r="O219" s="28"/>
      <c r="P219" s="28"/>
      <c r="Q219" s="28"/>
      <c r="R219" s="28"/>
      <c r="S219" s="28"/>
      <c r="T219" s="28"/>
      <c r="U219" s="7"/>
      <c r="V219" s="28"/>
      <c r="W219" s="28"/>
      <c r="X219" s="2"/>
      <c r="Y219" s="2"/>
      <c r="Z219" s="2"/>
    </row>
    <row r="220" spans="1:26" ht="19.5" customHeight="1">
      <c r="A220" s="28"/>
      <c r="B220" s="28"/>
      <c r="C220" s="28"/>
      <c r="D220" s="29"/>
      <c r="E220" s="29"/>
      <c r="F220" s="28"/>
      <c r="G220" s="28"/>
      <c r="H220" s="28"/>
      <c r="I220" s="28"/>
      <c r="J220" s="28"/>
      <c r="K220" s="28"/>
      <c r="L220" s="28"/>
      <c r="M220" s="28"/>
      <c r="N220" s="28"/>
      <c r="O220" s="28"/>
      <c r="P220" s="28"/>
      <c r="Q220" s="28"/>
      <c r="R220" s="28"/>
      <c r="S220" s="28"/>
      <c r="T220" s="28"/>
      <c r="U220" s="7"/>
      <c r="V220" s="28"/>
      <c r="W220" s="28"/>
      <c r="X220" s="2"/>
      <c r="Y220" s="2"/>
      <c r="Z220" s="2"/>
    </row>
    <row r="221" spans="1:26" ht="19.5" customHeight="1">
      <c r="A221" s="28"/>
      <c r="B221" s="28"/>
      <c r="C221" s="28"/>
      <c r="D221" s="29"/>
      <c r="E221" s="29"/>
      <c r="F221" s="28"/>
      <c r="G221" s="28"/>
      <c r="H221" s="28"/>
      <c r="I221" s="28"/>
      <c r="J221" s="28"/>
      <c r="K221" s="28"/>
      <c r="L221" s="28"/>
      <c r="M221" s="28"/>
      <c r="N221" s="28"/>
      <c r="O221" s="28"/>
      <c r="P221" s="28"/>
      <c r="Q221" s="28"/>
      <c r="R221" s="28"/>
      <c r="S221" s="28"/>
      <c r="T221" s="28"/>
      <c r="U221" s="7"/>
      <c r="V221" s="28"/>
      <c r="W221" s="28"/>
      <c r="X221" s="2"/>
      <c r="Y221" s="2"/>
      <c r="Z221" s="2"/>
    </row>
    <row r="222" spans="1:26" ht="19.5" customHeight="1">
      <c r="A222" s="28"/>
      <c r="B222" s="28"/>
      <c r="C222" s="28"/>
      <c r="D222" s="29"/>
      <c r="E222" s="29"/>
      <c r="F222" s="28"/>
      <c r="G222" s="28"/>
      <c r="H222" s="28"/>
      <c r="I222" s="28"/>
      <c r="J222" s="28"/>
      <c r="K222" s="28"/>
      <c r="L222" s="28"/>
      <c r="M222" s="28"/>
      <c r="N222" s="28"/>
      <c r="O222" s="28"/>
      <c r="P222" s="28"/>
      <c r="Q222" s="28"/>
      <c r="R222" s="28"/>
      <c r="S222" s="28"/>
      <c r="T222" s="28"/>
      <c r="U222" s="7"/>
      <c r="V222" s="28"/>
      <c r="W222" s="28"/>
      <c r="X222" s="2"/>
      <c r="Y222" s="2"/>
      <c r="Z222" s="2"/>
    </row>
    <row r="223" spans="1:26" ht="19.5" customHeight="1">
      <c r="A223" s="28"/>
      <c r="B223" s="28"/>
      <c r="C223" s="28"/>
      <c r="D223" s="29"/>
      <c r="E223" s="29"/>
      <c r="F223" s="28"/>
      <c r="G223" s="28"/>
      <c r="H223" s="28"/>
      <c r="I223" s="28"/>
      <c r="J223" s="28"/>
      <c r="K223" s="28"/>
      <c r="L223" s="28"/>
      <c r="M223" s="28"/>
      <c r="N223" s="28"/>
      <c r="O223" s="28"/>
      <c r="P223" s="28"/>
      <c r="Q223" s="28"/>
      <c r="R223" s="28"/>
      <c r="S223" s="28"/>
      <c r="T223" s="28"/>
      <c r="U223" s="7"/>
      <c r="V223" s="28"/>
      <c r="W223" s="28"/>
      <c r="X223" s="2"/>
      <c r="Y223" s="2"/>
      <c r="Z223" s="2"/>
    </row>
    <row r="224" spans="1:26" ht="19.5" customHeight="1">
      <c r="A224" s="28"/>
      <c r="B224" s="28"/>
      <c r="C224" s="28"/>
      <c r="D224" s="29"/>
      <c r="E224" s="29"/>
      <c r="F224" s="28"/>
      <c r="G224" s="28"/>
      <c r="H224" s="28"/>
      <c r="I224" s="28"/>
      <c r="J224" s="28"/>
      <c r="K224" s="28"/>
      <c r="L224" s="28"/>
      <c r="M224" s="28"/>
      <c r="N224" s="28"/>
      <c r="O224" s="28"/>
      <c r="P224" s="28"/>
      <c r="Q224" s="28"/>
      <c r="R224" s="28"/>
      <c r="S224" s="28"/>
      <c r="T224" s="28"/>
      <c r="U224" s="7"/>
      <c r="V224" s="28"/>
      <c r="W224" s="28"/>
      <c r="X224" s="2"/>
      <c r="Y224" s="2"/>
      <c r="Z224" s="2"/>
    </row>
    <row r="225" spans="1:26" ht="19.5" customHeight="1">
      <c r="A225" s="28"/>
      <c r="B225" s="28"/>
      <c r="C225" s="28"/>
      <c r="D225" s="29"/>
      <c r="E225" s="29"/>
      <c r="F225" s="28"/>
      <c r="G225" s="28"/>
      <c r="H225" s="28"/>
      <c r="I225" s="28"/>
      <c r="J225" s="28"/>
      <c r="K225" s="28"/>
      <c r="L225" s="28"/>
      <c r="M225" s="28"/>
      <c r="N225" s="28"/>
      <c r="O225" s="28"/>
      <c r="P225" s="28"/>
      <c r="Q225" s="28"/>
      <c r="R225" s="28"/>
      <c r="S225" s="28"/>
      <c r="T225" s="28"/>
      <c r="U225" s="7"/>
      <c r="V225" s="28"/>
      <c r="W225" s="28"/>
      <c r="X225" s="2"/>
      <c r="Y225" s="2"/>
      <c r="Z225" s="2"/>
    </row>
    <row r="226" spans="1:26" ht="19.5" customHeight="1">
      <c r="A226" s="28"/>
      <c r="B226" s="28"/>
      <c r="C226" s="28"/>
      <c r="D226" s="29"/>
      <c r="E226" s="29"/>
      <c r="F226" s="28"/>
      <c r="G226" s="28"/>
      <c r="H226" s="28"/>
      <c r="I226" s="28"/>
      <c r="J226" s="28"/>
      <c r="K226" s="28"/>
      <c r="L226" s="28"/>
      <c r="M226" s="28"/>
      <c r="N226" s="28"/>
      <c r="O226" s="28"/>
      <c r="P226" s="28"/>
      <c r="Q226" s="28"/>
      <c r="R226" s="28"/>
      <c r="S226" s="28"/>
      <c r="T226" s="28"/>
      <c r="U226" s="7"/>
      <c r="V226" s="28"/>
      <c r="W226" s="28"/>
      <c r="X226" s="2"/>
      <c r="Y226" s="2"/>
      <c r="Z226" s="2"/>
    </row>
    <row r="227" spans="1:26" ht="19.5" customHeight="1">
      <c r="A227" s="28"/>
      <c r="B227" s="28"/>
      <c r="C227" s="28"/>
      <c r="D227" s="29"/>
      <c r="E227" s="29"/>
      <c r="F227" s="28"/>
      <c r="G227" s="28"/>
      <c r="H227" s="28"/>
      <c r="I227" s="28"/>
      <c r="J227" s="28"/>
      <c r="K227" s="28"/>
      <c r="L227" s="28"/>
      <c r="M227" s="28"/>
      <c r="N227" s="28"/>
      <c r="O227" s="28"/>
      <c r="P227" s="28"/>
      <c r="Q227" s="28"/>
      <c r="R227" s="28"/>
      <c r="S227" s="28"/>
      <c r="T227" s="28"/>
      <c r="U227" s="7"/>
      <c r="V227" s="28"/>
      <c r="W227" s="28"/>
      <c r="X227" s="2"/>
      <c r="Y227" s="2"/>
      <c r="Z227" s="2"/>
    </row>
    <row r="228" spans="1:26" ht="19.5" customHeight="1">
      <c r="A228" s="28"/>
      <c r="B228" s="28"/>
      <c r="C228" s="28"/>
      <c r="D228" s="29"/>
      <c r="E228" s="29"/>
      <c r="F228" s="28"/>
      <c r="G228" s="28"/>
      <c r="H228" s="28"/>
      <c r="I228" s="28"/>
      <c r="J228" s="28"/>
      <c r="K228" s="28"/>
      <c r="L228" s="28"/>
      <c r="M228" s="28"/>
      <c r="N228" s="28"/>
      <c r="O228" s="28"/>
      <c r="P228" s="28"/>
      <c r="Q228" s="28"/>
      <c r="R228" s="28"/>
      <c r="S228" s="28"/>
      <c r="T228" s="28"/>
      <c r="U228" s="7"/>
      <c r="V228" s="28"/>
      <c r="W228" s="28"/>
      <c r="X228" s="2"/>
      <c r="Y228" s="2"/>
      <c r="Z228" s="2"/>
    </row>
    <row r="229" spans="1:26" ht="19.5" customHeight="1">
      <c r="A229" s="28"/>
      <c r="B229" s="28"/>
      <c r="C229" s="28"/>
      <c r="D229" s="29"/>
      <c r="E229" s="29"/>
      <c r="F229" s="28"/>
      <c r="G229" s="28"/>
      <c r="H229" s="28"/>
      <c r="I229" s="28"/>
      <c r="J229" s="28"/>
      <c r="K229" s="28"/>
      <c r="L229" s="28"/>
      <c r="M229" s="28"/>
      <c r="N229" s="28"/>
      <c r="O229" s="28"/>
      <c r="P229" s="28"/>
      <c r="Q229" s="28"/>
      <c r="R229" s="28"/>
      <c r="S229" s="28"/>
      <c r="T229" s="28"/>
      <c r="U229" s="7"/>
      <c r="V229" s="28"/>
      <c r="W229" s="28"/>
      <c r="X229" s="2"/>
      <c r="Y229" s="2"/>
      <c r="Z229" s="2"/>
    </row>
    <row r="230" spans="1:26" ht="19.5" customHeight="1">
      <c r="A230" s="28"/>
      <c r="B230" s="28"/>
      <c r="C230" s="28"/>
      <c r="D230" s="29"/>
      <c r="E230" s="29"/>
      <c r="F230" s="28"/>
      <c r="G230" s="28"/>
      <c r="H230" s="28"/>
      <c r="I230" s="28"/>
      <c r="J230" s="28"/>
      <c r="K230" s="28"/>
      <c r="L230" s="28"/>
      <c r="M230" s="28"/>
      <c r="N230" s="28"/>
      <c r="O230" s="28"/>
      <c r="P230" s="28"/>
      <c r="Q230" s="28"/>
      <c r="R230" s="28"/>
      <c r="S230" s="28"/>
      <c r="T230" s="28"/>
      <c r="U230" s="7"/>
      <c r="V230" s="28"/>
      <c r="W230" s="28"/>
      <c r="X230" s="2"/>
      <c r="Y230" s="2"/>
      <c r="Z230" s="2"/>
    </row>
    <row r="231" spans="1:26" ht="19.5" customHeight="1">
      <c r="A231" s="28"/>
      <c r="B231" s="28"/>
      <c r="C231" s="28"/>
      <c r="D231" s="29"/>
      <c r="E231" s="29"/>
      <c r="F231" s="28"/>
      <c r="G231" s="28"/>
      <c r="H231" s="28"/>
      <c r="I231" s="28"/>
      <c r="J231" s="28"/>
      <c r="K231" s="28"/>
      <c r="L231" s="28"/>
      <c r="M231" s="28"/>
      <c r="N231" s="28"/>
      <c r="O231" s="28"/>
      <c r="P231" s="28"/>
      <c r="Q231" s="28"/>
      <c r="R231" s="28"/>
      <c r="S231" s="28"/>
      <c r="T231" s="28"/>
      <c r="U231" s="7"/>
      <c r="V231" s="28"/>
      <c r="W231" s="28"/>
      <c r="X231" s="2"/>
      <c r="Y231" s="2"/>
      <c r="Z231" s="2"/>
    </row>
    <row r="232" spans="1:26" ht="19.5" customHeight="1">
      <c r="A232" s="28"/>
      <c r="B232" s="28"/>
      <c r="C232" s="28"/>
      <c r="D232" s="29"/>
      <c r="E232" s="29"/>
      <c r="F232" s="28"/>
      <c r="G232" s="28"/>
      <c r="H232" s="28"/>
      <c r="I232" s="28"/>
      <c r="J232" s="28"/>
      <c r="K232" s="28"/>
      <c r="L232" s="28"/>
      <c r="M232" s="28"/>
      <c r="N232" s="28"/>
      <c r="O232" s="28"/>
      <c r="P232" s="28"/>
      <c r="Q232" s="28"/>
      <c r="R232" s="28"/>
      <c r="S232" s="28"/>
      <c r="T232" s="28"/>
      <c r="U232" s="7"/>
      <c r="V232" s="28"/>
      <c r="W232" s="28"/>
      <c r="X232" s="2"/>
      <c r="Y232" s="2"/>
      <c r="Z232" s="2"/>
    </row>
    <row r="233" spans="1:26" ht="19.5" customHeight="1">
      <c r="A233" s="28"/>
      <c r="B233" s="28"/>
      <c r="C233" s="28"/>
      <c r="D233" s="29"/>
      <c r="E233" s="29"/>
      <c r="F233" s="28"/>
      <c r="G233" s="28"/>
      <c r="H233" s="28"/>
      <c r="I233" s="28"/>
      <c r="J233" s="28"/>
      <c r="K233" s="28"/>
      <c r="L233" s="28"/>
      <c r="M233" s="28"/>
      <c r="N233" s="28"/>
      <c r="O233" s="28"/>
      <c r="P233" s="28"/>
      <c r="Q233" s="28"/>
      <c r="R233" s="28"/>
      <c r="S233" s="28"/>
      <c r="T233" s="28"/>
      <c r="U233" s="7"/>
      <c r="V233" s="28"/>
      <c r="W233" s="28"/>
      <c r="X233" s="2"/>
      <c r="Y233" s="2"/>
      <c r="Z233" s="2"/>
    </row>
    <row r="234" spans="1:26" ht="19.5" customHeight="1">
      <c r="A234" s="28"/>
      <c r="B234" s="28"/>
      <c r="C234" s="28"/>
      <c r="D234" s="29"/>
      <c r="E234" s="29"/>
      <c r="F234" s="28"/>
      <c r="G234" s="28"/>
      <c r="H234" s="28"/>
      <c r="I234" s="28"/>
      <c r="J234" s="28"/>
      <c r="K234" s="28"/>
      <c r="L234" s="28"/>
      <c r="M234" s="28"/>
      <c r="N234" s="28"/>
      <c r="O234" s="28"/>
      <c r="P234" s="28"/>
      <c r="Q234" s="28"/>
      <c r="R234" s="28"/>
      <c r="S234" s="28"/>
      <c r="T234" s="28"/>
      <c r="U234" s="7"/>
      <c r="V234" s="28"/>
      <c r="W234" s="28"/>
      <c r="X234" s="2"/>
      <c r="Y234" s="2"/>
      <c r="Z234" s="2"/>
    </row>
    <row r="235" spans="1:26" ht="19.5" customHeight="1">
      <c r="A235" s="28"/>
      <c r="B235" s="28"/>
      <c r="C235" s="28"/>
      <c r="D235" s="29"/>
      <c r="E235" s="29"/>
      <c r="F235" s="28"/>
      <c r="G235" s="28"/>
      <c r="H235" s="28"/>
      <c r="I235" s="28"/>
      <c r="J235" s="28"/>
      <c r="K235" s="28"/>
      <c r="L235" s="28"/>
      <c r="M235" s="28"/>
      <c r="N235" s="28"/>
      <c r="O235" s="28"/>
      <c r="P235" s="28"/>
      <c r="Q235" s="28"/>
      <c r="R235" s="28"/>
      <c r="S235" s="28"/>
      <c r="T235" s="28"/>
      <c r="U235" s="7"/>
      <c r="V235" s="28"/>
      <c r="W235" s="28"/>
      <c r="X235" s="2"/>
      <c r="Y235" s="2"/>
      <c r="Z235" s="2"/>
    </row>
    <row r="236" spans="1:26" ht="19.5" customHeight="1">
      <c r="A236" s="28"/>
      <c r="B236" s="28"/>
      <c r="C236" s="28"/>
      <c r="D236" s="29"/>
      <c r="E236" s="29"/>
      <c r="F236" s="28"/>
      <c r="G236" s="28"/>
      <c r="H236" s="28"/>
      <c r="I236" s="28"/>
      <c r="J236" s="28"/>
      <c r="K236" s="28"/>
      <c r="L236" s="28"/>
      <c r="M236" s="28"/>
      <c r="N236" s="28"/>
      <c r="O236" s="28"/>
      <c r="P236" s="28"/>
      <c r="Q236" s="28"/>
      <c r="R236" s="28"/>
      <c r="S236" s="28"/>
      <c r="T236" s="28"/>
      <c r="U236" s="7"/>
      <c r="V236" s="28"/>
      <c r="W236" s="28"/>
      <c r="X236" s="2"/>
      <c r="Y236" s="2"/>
      <c r="Z236" s="2"/>
    </row>
    <row r="237" spans="1:26" ht="19.5" customHeight="1">
      <c r="A237" s="28"/>
      <c r="B237" s="28"/>
      <c r="C237" s="28"/>
      <c r="D237" s="29"/>
      <c r="E237" s="29"/>
      <c r="F237" s="28"/>
      <c r="G237" s="28"/>
      <c r="H237" s="28"/>
      <c r="I237" s="28"/>
      <c r="J237" s="28"/>
      <c r="K237" s="28"/>
      <c r="L237" s="28"/>
      <c r="M237" s="28"/>
      <c r="N237" s="28"/>
      <c r="O237" s="28"/>
      <c r="P237" s="28"/>
      <c r="Q237" s="28"/>
      <c r="R237" s="28"/>
      <c r="S237" s="28"/>
      <c r="T237" s="28"/>
      <c r="U237" s="7"/>
      <c r="V237" s="28"/>
      <c r="W237" s="28"/>
      <c r="X237" s="2"/>
      <c r="Y237" s="2"/>
      <c r="Z237" s="2"/>
    </row>
    <row r="238" spans="1:26" ht="19.5" customHeight="1">
      <c r="A238" s="28"/>
      <c r="B238" s="28"/>
      <c r="C238" s="28"/>
      <c r="D238" s="29"/>
      <c r="E238" s="29"/>
      <c r="F238" s="28"/>
      <c r="G238" s="28"/>
      <c r="H238" s="28"/>
      <c r="I238" s="28"/>
      <c r="J238" s="28"/>
      <c r="K238" s="28"/>
      <c r="L238" s="28"/>
      <c r="M238" s="28"/>
      <c r="N238" s="28"/>
      <c r="O238" s="28"/>
      <c r="P238" s="28"/>
      <c r="Q238" s="28"/>
      <c r="R238" s="28"/>
      <c r="S238" s="28"/>
      <c r="T238" s="28"/>
      <c r="U238" s="7"/>
      <c r="V238" s="28"/>
      <c r="W238" s="28"/>
      <c r="X238" s="2"/>
      <c r="Y238" s="2"/>
      <c r="Z238" s="2"/>
    </row>
    <row r="239" spans="1:26" ht="19.5" customHeight="1">
      <c r="A239" s="28"/>
      <c r="B239" s="28"/>
      <c r="C239" s="28"/>
      <c r="D239" s="29"/>
      <c r="E239" s="29"/>
      <c r="F239" s="28"/>
      <c r="G239" s="28"/>
      <c r="H239" s="28"/>
      <c r="I239" s="28"/>
      <c r="J239" s="28"/>
      <c r="K239" s="28"/>
      <c r="L239" s="28"/>
      <c r="M239" s="28"/>
      <c r="N239" s="28"/>
      <c r="O239" s="28"/>
      <c r="P239" s="28"/>
      <c r="Q239" s="28"/>
      <c r="R239" s="28"/>
      <c r="S239" s="28"/>
      <c r="T239" s="28"/>
      <c r="U239" s="7"/>
      <c r="V239" s="28"/>
      <c r="W239" s="28"/>
      <c r="X239" s="2"/>
      <c r="Y239" s="2"/>
      <c r="Z239" s="2"/>
    </row>
    <row r="240" spans="1:26" ht="19.5" customHeight="1">
      <c r="A240" s="28"/>
      <c r="B240" s="28"/>
      <c r="C240" s="28"/>
      <c r="D240" s="29"/>
      <c r="E240" s="29"/>
      <c r="F240" s="28"/>
      <c r="G240" s="28"/>
      <c r="H240" s="28"/>
      <c r="I240" s="28"/>
      <c r="J240" s="28"/>
      <c r="K240" s="28"/>
      <c r="L240" s="28"/>
      <c r="M240" s="28"/>
      <c r="N240" s="28"/>
      <c r="O240" s="28"/>
      <c r="P240" s="28"/>
      <c r="Q240" s="28"/>
      <c r="R240" s="28"/>
      <c r="S240" s="28"/>
      <c r="T240" s="28"/>
      <c r="U240" s="7"/>
      <c r="V240" s="28"/>
      <c r="W240" s="28"/>
      <c r="X240" s="2"/>
      <c r="Y240" s="2"/>
      <c r="Z240" s="2"/>
    </row>
    <row r="241" spans="1:26" ht="19.5" customHeight="1">
      <c r="A241" s="28"/>
      <c r="B241" s="28"/>
      <c r="C241" s="28"/>
      <c r="D241" s="29"/>
      <c r="E241" s="29"/>
      <c r="F241" s="28"/>
      <c r="G241" s="28"/>
      <c r="H241" s="28"/>
      <c r="I241" s="28"/>
      <c r="J241" s="28"/>
      <c r="K241" s="28"/>
      <c r="L241" s="28"/>
      <c r="M241" s="28"/>
      <c r="N241" s="28"/>
      <c r="O241" s="28"/>
      <c r="P241" s="28"/>
      <c r="Q241" s="28"/>
      <c r="R241" s="28"/>
      <c r="S241" s="28"/>
      <c r="T241" s="28"/>
      <c r="U241" s="7"/>
      <c r="V241" s="28"/>
      <c r="W241" s="28"/>
      <c r="X241" s="2"/>
      <c r="Y241" s="2"/>
      <c r="Z241" s="2"/>
    </row>
    <row r="242" spans="1:26" ht="19.5" customHeight="1">
      <c r="A242" s="28"/>
      <c r="B242" s="28"/>
      <c r="C242" s="28"/>
      <c r="D242" s="29"/>
      <c r="E242" s="29"/>
      <c r="F242" s="28"/>
      <c r="G242" s="28"/>
      <c r="H242" s="28"/>
      <c r="I242" s="28"/>
      <c r="J242" s="28"/>
      <c r="K242" s="28"/>
      <c r="L242" s="28"/>
      <c r="M242" s="28"/>
      <c r="N242" s="28"/>
      <c r="O242" s="28"/>
      <c r="P242" s="28"/>
      <c r="Q242" s="28"/>
      <c r="R242" s="28"/>
      <c r="S242" s="28"/>
      <c r="T242" s="28"/>
      <c r="U242" s="7"/>
      <c r="V242" s="28"/>
      <c r="W242" s="28"/>
      <c r="X242" s="2"/>
      <c r="Y242" s="2"/>
      <c r="Z242" s="2"/>
    </row>
    <row r="243" spans="1:26" ht="19.5" customHeight="1">
      <c r="A243" s="28"/>
      <c r="B243" s="28"/>
      <c r="C243" s="28"/>
      <c r="D243" s="29"/>
      <c r="E243" s="29"/>
      <c r="F243" s="28"/>
      <c r="G243" s="28"/>
      <c r="H243" s="28"/>
      <c r="I243" s="28"/>
      <c r="J243" s="28"/>
      <c r="K243" s="28"/>
      <c r="L243" s="28"/>
      <c r="M243" s="28"/>
      <c r="N243" s="28"/>
      <c r="O243" s="28"/>
      <c r="P243" s="28"/>
      <c r="Q243" s="28"/>
      <c r="R243" s="28"/>
      <c r="S243" s="28"/>
      <c r="T243" s="28"/>
      <c r="U243" s="7"/>
      <c r="V243" s="28"/>
      <c r="W243" s="28"/>
      <c r="X243" s="2"/>
      <c r="Y243" s="2"/>
      <c r="Z243" s="2"/>
    </row>
    <row r="244" spans="1:26" ht="19.5" customHeight="1">
      <c r="A244" s="28"/>
      <c r="B244" s="28"/>
      <c r="C244" s="28"/>
      <c r="D244" s="29"/>
      <c r="E244" s="29"/>
      <c r="F244" s="28"/>
      <c r="G244" s="28"/>
      <c r="H244" s="28"/>
      <c r="I244" s="28"/>
      <c r="J244" s="28"/>
      <c r="K244" s="28"/>
      <c r="L244" s="28"/>
      <c r="M244" s="28"/>
      <c r="N244" s="28"/>
      <c r="O244" s="28"/>
      <c r="P244" s="28"/>
      <c r="Q244" s="28"/>
      <c r="R244" s="28"/>
      <c r="S244" s="28"/>
      <c r="T244" s="28"/>
      <c r="U244" s="7"/>
      <c r="V244" s="28"/>
      <c r="W244" s="28"/>
      <c r="X244" s="2"/>
      <c r="Y244" s="2"/>
      <c r="Z244" s="2"/>
    </row>
    <row r="245" spans="1:26" ht="19.5" customHeight="1">
      <c r="A245" s="28"/>
      <c r="B245" s="28"/>
      <c r="C245" s="28"/>
      <c r="D245" s="29"/>
      <c r="E245" s="29"/>
      <c r="F245" s="28"/>
      <c r="G245" s="28"/>
      <c r="H245" s="28"/>
      <c r="I245" s="28"/>
      <c r="J245" s="28"/>
      <c r="K245" s="28"/>
      <c r="L245" s="28"/>
      <c r="M245" s="28"/>
      <c r="N245" s="28"/>
      <c r="O245" s="28"/>
      <c r="P245" s="28"/>
      <c r="Q245" s="28"/>
      <c r="R245" s="28"/>
      <c r="S245" s="28"/>
      <c r="T245" s="28"/>
      <c r="U245" s="7"/>
      <c r="V245" s="28"/>
      <c r="W245" s="28"/>
      <c r="X245" s="2"/>
      <c r="Y245" s="2"/>
      <c r="Z245" s="2"/>
    </row>
    <row r="246" spans="1:26" ht="19.5" customHeight="1">
      <c r="A246" s="28"/>
      <c r="B246" s="28"/>
      <c r="C246" s="28"/>
      <c r="D246" s="29"/>
      <c r="E246" s="29"/>
      <c r="F246" s="28"/>
      <c r="G246" s="28"/>
      <c r="H246" s="28"/>
      <c r="I246" s="28"/>
      <c r="J246" s="28"/>
      <c r="K246" s="28"/>
      <c r="L246" s="28"/>
      <c r="M246" s="28"/>
      <c r="N246" s="28"/>
      <c r="O246" s="28"/>
      <c r="P246" s="28"/>
      <c r="Q246" s="28"/>
      <c r="R246" s="28"/>
      <c r="S246" s="28"/>
      <c r="T246" s="28"/>
      <c r="U246" s="7"/>
      <c r="V246" s="28"/>
      <c r="W246" s="28"/>
      <c r="X246" s="2"/>
      <c r="Y246" s="2"/>
      <c r="Z246" s="2"/>
    </row>
    <row r="247" spans="1:26" ht="19.5" customHeight="1">
      <c r="A247" s="28"/>
      <c r="B247" s="28"/>
      <c r="C247" s="28"/>
      <c r="D247" s="29"/>
      <c r="E247" s="29"/>
      <c r="F247" s="28"/>
      <c r="G247" s="28"/>
      <c r="H247" s="28"/>
      <c r="I247" s="28"/>
      <c r="J247" s="28"/>
      <c r="K247" s="28"/>
      <c r="L247" s="28"/>
      <c r="M247" s="28"/>
      <c r="N247" s="28"/>
      <c r="O247" s="28"/>
      <c r="P247" s="28"/>
      <c r="Q247" s="28"/>
      <c r="R247" s="28"/>
      <c r="S247" s="28"/>
      <c r="T247" s="28"/>
      <c r="U247" s="7"/>
      <c r="V247" s="28"/>
      <c r="W247" s="28"/>
      <c r="X247" s="2"/>
      <c r="Y247" s="2"/>
      <c r="Z247" s="2"/>
    </row>
    <row r="248" spans="1:26" ht="19.5" customHeight="1">
      <c r="A248" s="28"/>
      <c r="B248" s="28"/>
      <c r="C248" s="28"/>
      <c r="D248" s="29"/>
      <c r="E248" s="29"/>
      <c r="F248" s="28"/>
      <c r="G248" s="28"/>
      <c r="H248" s="28"/>
      <c r="I248" s="28"/>
      <c r="J248" s="28"/>
      <c r="K248" s="28"/>
      <c r="L248" s="28"/>
      <c r="M248" s="28"/>
      <c r="N248" s="28"/>
      <c r="O248" s="28"/>
      <c r="P248" s="28"/>
      <c r="Q248" s="28"/>
      <c r="R248" s="28"/>
      <c r="S248" s="28"/>
      <c r="T248" s="28"/>
      <c r="U248" s="7"/>
      <c r="V248" s="28"/>
      <c r="W248" s="28"/>
      <c r="X248" s="2"/>
      <c r="Y248" s="2"/>
      <c r="Z248" s="2"/>
    </row>
    <row r="249" spans="1:26" ht="19.5" customHeight="1">
      <c r="A249" s="28"/>
      <c r="B249" s="28"/>
      <c r="C249" s="28"/>
      <c r="D249" s="29"/>
      <c r="E249" s="29"/>
      <c r="F249" s="28"/>
      <c r="G249" s="28"/>
      <c r="H249" s="28"/>
      <c r="I249" s="28"/>
      <c r="J249" s="28"/>
      <c r="K249" s="28"/>
      <c r="L249" s="28"/>
      <c r="M249" s="28"/>
      <c r="N249" s="28"/>
      <c r="O249" s="28"/>
      <c r="P249" s="28"/>
      <c r="Q249" s="28"/>
      <c r="R249" s="28"/>
      <c r="S249" s="28"/>
      <c r="T249" s="28"/>
      <c r="U249" s="7"/>
      <c r="V249" s="28"/>
      <c r="W249" s="28"/>
      <c r="X249" s="2"/>
      <c r="Y249" s="2"/>
      <c r="Z249" s="2"/>
    </row>
    <row r="250" spans="1:26" ht="19.5" customHeight="1">
      <c r="A250" s="28"/>
      <c r="B250" s="28"/>
      <c r="C250" s="28"/>
      <c r="D250" s="29"/>
      <c r="E250" s="29"/>
      <c r="F250" s="28"/>
      <c r="G250" s="28"/>
      <c r="H250" s="28"/>
      <c r="I250" s="28"/>
      <c r="J250" s="28"/>
      <c r="K250" s="28"/>
      <c r="L250" s="28"/>
      <c r="M250" s="28"/>
      <c r="N250" s="28"/>
      <c r="O250" s="28"/>
      <c r="P250" s="28"/>
      <c r="Q250" s="28"/>
      <c r="R250" s="28"/>
      <c r="S250" s="28"/>
      <c r="T250" s="28"/>
      <c r="U250" s="7"/>
      <c r="V250" s="28"/>
      <c r="W250" s="28"/>
      <c r="X250" s="2"/>
      <c r="Y250" s="2"/>
      <c r="Z250" s="2"/>
    </row>
    <row r="251" spans="1:26" ht="19.5" customHeight="1">
      <c r="A251" s="28"/>
      <c r="B251" s="28"/>
      <c r="C251" s="28"/>
      <c r="D251" s="29"/>
      <c r="E251" s="29"/>
      <c r="F251" s="28"/>
      <c r="G251" s="28"/>
      <c r="H251" s="28"/>
      <c r="I251" s="28"/>
      <c r="J251" s="28"/>
      <c r="K251" s="28"/>
      <c r="L251" s="28"/>
      <c r="M251" s="28"/>
      <c r="N251" s="28"/>
      <c r="O251" s="28"/>
      <c r="P251" s="28"/>
      <c r="Q251" s="28"/>
      <c r="R251" s="28"/>
      <c r="S251" s="28"/>
      <c r="T251" s="28"/>
      <c r="U251" s="7"/>
      <c r="V251" s="28"/>
      <c r="W251" s="28"/>
      <c r="X251" s="2"/>
      <c r="Y251" s="2"/>
      <c r="Z251" s="2"/>
    </row>
    <row r="252" spans="1:26" ht="19.5" customHeight="1">
      <c r="A252" s="28"/>
      <c r="B252" s="28"/>
      <c r="C252" s="28"/>
      <c r="D252" s="29"/>
      <c r="E252" s="29"/>
      <c r="F252" s="28"/>
      <c r="G252" s="28"/>
      <c r="H252" s="28"/>
      <c r="I252" s="28"/>
      <c r="J252" s="28"/>
      <c r="K252" s="28"/>
      <c r="L252" s="28"/>
      <c r="M252" s="28"/>
      <c r="N252" s="28"/>
      <c r="O252" s="28"/>
      <c r="P252" s="28"/>
      <c r="Q252" s="28"/>
      <c r="R252" s="28"/>
      <c r="S252" s="28"/>
      <c r="T252" s="28"/>
      <c r="U252" s="7"/>
      <c r="V252" s="28"/>
      <c r="W252" s="28"/>
      <c r="X252" s="2"/>
      <c r="Y252" s="2"/>
      <c r="Z252" s="2"/>
    </row>
    <row r="253" spans="1:26" ht="19.5" customHeight="1">
      <c r="A253" s="28"/>
      <c r="B253" s="28"/>
      <c r="C253" s="28"/>
      <c r="D253" s="29"/>
      <c r="E253" s="29"/>
      <c r="F253" s="28"/>
      <c r="G253" s="28"/>
      <c r="H253" s="28"/>
      <c r="I253" s="28"/>
      <c r="J253" s="28"/>
      <c r="K253" s="28"/>
      <c r="L253" s="28"/>
      <c r="M253" s="28"/>
      <c r="N253" s="28"/>
      <c r="O253" s="28"/>
      <c r="P253" s="28"/>
      <c r="Q253" s="28"/>
      <c r="R253" s="28"/>
      <c r="S253" s="28"/>
      <c r="T253" s="28"/>
      <c r="U253" s="7"/>
      <c r="V253" s="28"/>
      <c r="W253" s="28"/>
      <c r="X253" s="2"/>
      <c r="Y253" s="2"/>
      <c r="Z253" s="2"/>
    </row>
    <row r="254" spans="1:26" ht="19.5" customHeight="1">
      <c r="A254" s="28"/>
      <c r="B254" s="28"/>
      <c r="C254" s="28"/>
      <c r="D254" s="29"/>
      <c r="E254" s="29"/>
      <c r="F254" s="28"/>
      <c r="G254" s="28"/>
      <c r="H254" s="28"/>
      <c r="I254" s="28"/>
      <c r="J254" s="28"/>
      <c r="K254" s="28"/>
      <c r="L254" s="28"/>
      <c r="M254" s="28"/>
      <c r="N254" s="28"/>
      <c r="O254" s="28"/>
      <c r="P254" s="28"/>
      <c r="Q254" s="28"/>
      <c r="R254" s="28"/>
      <c r="S254" s="28"/>
      <c r="T254" s="28"/>
      <c r="U254" s="7"/>
      <c r="V254" s="28"/>
      <c r="W254" s="28"/>
      <c r="X254" s="2"/>
      <c r="Y254" s="2"/>
      <c r="Z254" s="2"/>
    </row>
    <row r="255" spans="1:26" ht="19.5" customHeight="1">
      <c r="A255" s="28"/>
      <c r="B255" s="28"/>
      <c r="C255" s="28"/>
      <c r="D255" s="29"/>
      <c r="E255" s="29"/>
      <c r="F255" s="28"/>
      <c r="G255" s="28"/>
      <c r="H255" s="28"/>
      <c r="I255" s="28"/>
      <c r="J255" s="28"/>
      <c r="K255" s="28"/>
      <c r="L255" s="28"/>
      <c r="M255" s="28"/>
      <c r="N255" s="28"/>
      <c r="O255" s="28"/>
      <c r="P255" s="28"/>
      <c r="Q255" s="28"/>
      <c r="R255" s="28"/>
      <c r="S255" s="28"/>
      <c r="T255" s="28"/>
      <c r="U255" s="7"/>
      <c r="V255" s="28"/>
      <c r="W255" s="28"/>
      <c r="X255" s="2"/>
      <c r="Y255" s="2"/>
      <c r="Z255" s="2"/>
    </row>
    <row r="256" spans="1:26" ht="19.5" customHeight="1">
      <c r="A256" s="28"/>
      <c r="B256" s="28"/>
      <c r="C256" s="28"/>
      <c r="D256" s="29"/>
      <c r="E256" s="29"/>
      <c r="F256" s="28"/>
      <c r="G256" s="28"/>
      <c r="H256" s="28"/>
      <c r="I256" s="28"/>
      <c r="J256" s="28"/>
      <c r="K256" s="28"/>
      <c r="L256" s="28"/>
      <c r="M256" s="28"/>
      <c r="N256" s="28"/>
      <c r="O256" s="28"/>
      <c r="P256" s="28"/>
      <c r="Q256" s="28"/>
      <c r="R256" s="28"/>
      <c r="S256" s="28"/>
      <c r="T256" s="28"/>
      <c r="U256" s="7"/>
      <c r="V256" s="28"/>
      <c r="W256" s="28"/>
      <c r="X256" s="2"/>
      <c r="Y256" s="2"/>
      <c r="Z256" s="2"/>
    </row>
    <row r="257" spans="1:26" ht="19.5" customHeight="1">
      <c r="A257" s="28"/>
      <c r="B257" s="28"/>
      <c r="C257" s="28"/>
      <c r="D257" s="29"/>
      <c r="E257" s="29"/>
      <c r="F257" s="28"/>
      <c r="G257" s="28"/>
      <c r="H257" s="28"/>
      <c r="I257" s="28"/>
      <c r="J257" s="28"/>
      <c r="K257" s="28"/>
      <c r="L257" s="28"/>
      <c r="M257" s="28"/>
      <c r="N257" s="28"/>
      <c r="O257" s="28"/>
      <c r="P257" s="28"/>
      <c r="Q257" s="28"/>
      <c r="R257" s="28"/>
      <c r="S257" s="28"/>
      <c r="T257" s="28"/>
      <c r="U257" s="7"/>
      <c r="V257" s="28"/>
      <c r="W257" s="28"/>
      <c r="X257" s="2"/>
      <c r="Y257" s="2"/>
      <c r="Z257" s="2"/>
    </row>
    <row r="258" spans="1:26" ht="19.5" customHeight="1">
      <c r="A258" s="28"/>
      <c r="B258" s="28"/>
      <c r="C258" s="28"/>
      <c r="D258" s="29"/>
      <c r="E258" s="29"/>
      <c r="F258" s="28"/>
      <c r="G258" s="28"/>
      <c r="H258" s="28"/>
      <c r="I258" s="28"/>
      <c r="J258" s="28"/>
      <c r="K258" s="28"/>
      <c r="L258" s="28"/>
      <c r="M258" s="28"/>
      <c r="N258" s="28"/>
      <c r="O258" s="28"/>
      <c r="P258" s="28"/>
      <c r="Q258" s="28"/>
      <c r="R258" s="28"/>
      <c r="S258" s="28"/>
      <c r="T258" s="28"/>
      <c r="U258" s="7"/>
      <c r="V258" s="28"/>
      <c r="W258" s="28"/>
      <c r="X258" s="2"/>
      <c r="Y258" s="2"/>
      <c r="Z258" s="2"/>
    </row>
    <row r="259" spans="1:26" ht="19.5" customHeight="1">
      <c r="A259" s="28"/>
      <c r="B259" s="28"/>
      <c r="C259" s="28"/>
      <c r="D259" s="29"/>
      <c r="E259" s="29"/>
      <c r="F259" s="28"/>
      <c r="G259" s="28"/>
      <c r="H259" s="28"/>
      <c r="I259" s="28"/>
      <c r="J259" s="28"/>
      <c r="K259" s="28"/>
      <c r="L259" s="28"/>
      <c r="M259" s="28"/>
      <c r="N259" s="28"/>
      <c r="O259" s="28"/>
      <c r="P259" s="28"/>
      <c r="Q259" s="28"/>
      <c r="R259" s="28"/>
      <c r="S259" s="28"/>
      <c r="T259" s="28"/>
      <c r="U259" s="7"/>
      <c r="V259" s="28"/>
      <c r="W259" s="28"/>
      <c r="X259" s="2"/>
      <c r="Y259" s="2"/>
      <c r="Z259" s="2"/>
    </row>
    <row r="260" spans="1:26" ht="19.5" customHeight="1">
      <c r="A260" s="28"/>
      <c r="B260" s="28"/>
      <c r="C260" s="28"/>
      <c r="D260" s="29"/>
      <c r="E260" s="29"/>
      <c r="F260" s="28"/>
      <c r="G260" s="28"/>
      <c r="H260" s="28"/>
      <c r="I260" s="28"/>
      <c r="J260" s="28"/>
      <c r="K260" s="28"/>
      <c r="L260" s="28"/>
      <c r="M260" s="28"/>
      <c r="N260" s="28"/>
      <c r="O260" s="28"/>
      <c r="P260" s="28"/>
      <c r="Q260" s="28"/>
      <c r="R260" s="28"/>
      <c r="S260" s="28"/>
      <c r="T260" s="28"/>
      <c r="U260" s="7"/>
      <c r="V260" s="28"/>
      <c r="W260" s="28"/>
      <c r="X260" s="2"/>
      <c r="Y260" s="2"/>
      <c r="Z260" s="2"/>
    </row>
    <row r="261" spans="1:26" ht="19.5" customHeight="1">
      <c r="A261" s="28"/>
      <c r="B261" s="28"/>
      <c r="C261" s="28"/>
      <c r="D261" s="29"/>
      <c r="E261" s="29"/>
      <c r="F261" s="28"/>
      <c r="G261" s="28"/>
      <c r="H261" s="28"/>
      <c r="I261" s="28"/>
      <c r="J261" s="28"/>
      <c r="K261" s="28"/>
      <c r="L261" s="28"/>
      <c r="M261" s="28"/>
      <c r="N261" s="28"/>
      <c r="O261" s="28"/>
      <c r="P261" s="28"/>
      <c r="Q261" s="28"/>
      <c r="R261" s="28"/>
      <c r="S261" s="28"/>
      <c r="T261" s="28"/>
      <c r="U261" s="7"/>
      <c r="V261" s="28"/>
      <c r="W261" s="28"/>
      <c r="X261" s="2"/>
      <c r="Y261" s="2"/>
      <c r="Z261" s="2"/>
    </row>
    <row r="262" spans="1:26" ht="19.5" customHeight="1">
      <c r="A262" s="28"/>
      <c r="B262" s="28"/>
      <c r="C262" s="28"/>
      <c r="D262" s="29"/>
      <c r="E262" s="29"/>
      <c r="F262" s="28"/>
      <c r="G262" s="28"/>
      <c r="H262" s="28"/>
      <c r="I262" s="28"/>
      <c r="J262" s="28"/>
      <c r="K262" s="28"/>
      <c r="L262" s="28"/>
      <c r="M262" s="28"/>
      <c r="N262" s="28"/>
      <c r="O262" s="28"/>
      <c r="P262" s="28"/>
      <c r="Q262" s="28"/>
      <c r="R262" s="28"/>
      <c r="S262" s="28"/>
      <c r="T262" s="28"/>
      <c r="U262" s="7"/>
      <c r="V262" s="28"/>
      <c r="W262" s="28"/>
      <c r="X262" s="2"/>
      <c r="Y262" s="2"/>
      <c r="Z262" s="2"/>
    </row>
    <row r="263" spans="1:26" ht="19.5" customHeight="1">
      <c r="A263" s="28"/>
      <c r="B263" s="28"/>
      <c r="C263" s="28"/>
      <c r="D263" s="29"/>
      <c r="E263" s="29"/>
      <c r="F263" s="28"/>
      <c r="G263" s="28"/>
      <c r="H263" s="28"/>
      <c r="I263" s="28"/>
      <c r="J263" s="28"/>
      <c r="K263" s="28"/>
      <c r="L263" s="28"/>
      <c r="M263" s="28"/>
      <c r="N263" s="28"/>
      <c r="O263" s="28"/>
      <c r="P263" s="28"/>
      <c r="Q263" s="28"/>
      <c r="R263" s="28"/>
      <c r="S263" s="28"/>
      <c r="T263" s="28"/>
      <c r="U263" s="7"/>
      <c r="V263" s="28"/>
      <c r="W263" s="28"/>
      <c r="X263" s="2"/>
      <c r="Y263" s="2"/>
      <c r="Z263" s="2"/>
    </row>
    <row r="264" spans="1:26" ht="19.5" customHeight="1">
      <c r="A264" s="28"/>
      <c r="B264" s="28"/>
      <c r="C264" s="28"/>
      <c r="D264" s="29"/>
      <c r="E264" s="29"/>
      <c r="F264" s="28"/>
      <c r="G264" s="28"/>
      <c r="H264" s="28"/>
      <c r="I264" s="28"/>
      <c r="J264" s="28"/>
      <c r="K264" s="28"/>
      <c r="L264" s="28"/>
      <c r="M264" s="28"/>
      <c r="N264" s="28"/>
      <c r="O264" s="28"/>
      <c r="P264" s="28"/>
      <c r="Q264" s="28"/>
      <c r="R264" s="28"/>
      <c r="S264" s="28"/>
      <c r="T264" s="28"/>
      <c r="U264" s="7"/>
      <c r="V264" s="28"/>
      <c r="W264" s="28"/>
      <c r="X264" s="2"/>
      <c r="Y264" s="2"/>
      <c r="Z264" s="2"/>
    </row>
    <row r="265" spans="1:26" ht="19.5" customHeight="1">
      <c r="A265" s="28"/>
      <c r="B265" s="28"/>
      <c r="C265" s="28"/>
      <c r="D265" s="29"/>
      <c r="E265" s="29"/>
      <c r="F265" s="28"/>
      <c r="G265" s="28"/>
      <c r="H265" s="28"/>
      <c r="I265" s="28"/>
      <c r="J265" s="28"/>
      <c r="K265" s="28"/>
      <c r="L265" s="28"/>
      <c r="M265" s="28"/>
      <c r="N265" s="28"/>
      <c r="O265" s="28"/>
      <c r="P265" s="28"/>
      <c r="Q265" s="28"/>
      <c r="R265" s="28"/>
      <c r="S265" s="28"/>
      <c r="T265" s="28"/>
      <c r="U265" s="7"/>
      <c r="V265" s="28"/>
      <c r="W265" s="28"/>
      <c r="X265" s="2"/>
      <c r="Y265" s="2"/>
      <c r="Z265" s="2"/>
    </row>
    <row r="266" spans="1:26" ht="19.5" customHeight="1">
      <c r="A266" s="28"/>
      <c r="B266" s="28"/>
      <c r="C266" s="28"/>
      <c r="D266" s="29"/>
      <c r="E266" s="29"/>
      <c r="F266" s="28"/>
      <c r="G266" s="28"/>
      <c r="H266" s="28"/>
      <c r="I266" s="28"/>
      <c r="J266" s="28"/>
      <c r="K266" s="28"/>
      <c r="L266" s="28"/>
      <c r="M266" s="28"/>
      <c r="N266" s="28"/>
      <c r="O266" s="28"/>
      <c r="P266" s="28"/>
      <c r="Q266" s="28"/>
      <c r="R266" s="28"/>
      <c r="S266" s="28"/>
      <c r="T266" s="28"/>
      <c r="U266" s="7"/>
      <c r="V266" s="28"/>
      <c r="W266" s="28"/>
      <c r="X266" s="2"/>
      <c r="Y266" s="2"/>
      <c r="Z266" s="2"/>
    </row>
    <row r="267" spans="1:26" ht="19.5" customHeight="1">
      <c r="A267" s="28"/>
      <c r="B267" s="28"/>
      <c r="C267" s="28"/>
      <c r="D267" s="29"/>
      <c r="E267" s="29"/>
      <c r="F267" s="28"/>
      <c r="G267" s="28"/>
      <c r="H267" s="28"/>
      <c r="I267" s="28"/>
      <c r="J267" s="28"/>
      <c r="K267" s="28"/>
      <c r="L267" s="28"/>
      <c r="M267" s="28"/>
      <c r="N267" s="28"/>
      <c r="O267" s="28"/>
      <c r="P267" s="28"/>
      <c r="Q267" s="28"/>
      <c r="R267" s="28"/>
      <c r="S267" s="28"/>
      <c r="T267" s="28"/>
      <c r="U267" s="7"/>
      <c r="V267" s="28"/>
      <c r="W267" s="28"/>
      <c r="X267" s="2"/>
      <c r="Y267" s="2"/>
      <c r="Z267" s="2"/>
    </row>
    <row r="268" spans="1:26" ht="19.5" customHeight="1">
      <c r="A268" s="28"/>
      <c r="B268" s="28"/>
      <c r="C268" s="28"/>
      <c r="D268" s="29"/>
      <c r="E268" s="29"/>
      <c r="F268" s="28"/>
      <c r="G268" s="28"/>
      <c r="H268" s="28"/>
      <c r="I268" s="28"/>
      <c r="J268" s="28"/>
      <c r="K268" s="28"/>
      <c r="L268" s="28"/>
      <c r="M268" s="28"/>
      <c r="N268" s="28"/>
      <c r="O268" s="28"/>
      <c r="P268" s="28"/>
      <c r="Q268" s="28"/>
      <c r="R268" s="28"/>
      <c r="S268" s="28"/>
      <c r="T268" s="28"/>
      <c r="U268" s="7"/>
      <c r="V268" s="28"/>
      <c r="W268" s="28"/>
      <c r="X268" s="2"/>
      <c r="Y268" s="2"/>
      <c r="Z268" s="2"/>
    </row>
    <row r="269" spans="1:26" ht="19.5" customHeight="1">
      <c r="A269" s="28"/>
      <c r="B269" s="28"/>
      <c r="C269" s="28"/>
      <c r="D269" s="29"/>
      <c r="E269" s="29"/>
      <c r="F269" s="28"/>
      <c r="G269" s="28"/>
      <c r="H269" s="28"/>
      <c r="I269" s="28"/>
      <c r="J269" s="28"/>
      <c r="K269" s="28"/>
      <c r="L269" s="28"/>
      <c r="M269" s="28"/>
      <c r="N269" s="28"/>
      <c r="O269" s="28"/>
      <c r="P269" s="28"/>
      <c r="Q269" s="28"/>
      <c r="R269" s="28"/>
      <c r="S269" s="28"/>
      <c r="T269" s="28"/>
      <c r="U269" s="7"/>
      <c r="V269" s="28"/>
      <c r="W269" s="28"/>
      <c r="X269" s="2"/>
      <c r="Y269" s="2"/>
      <c r="Z269" s="2"/>
    </row>
    <row r="270" spans="1:26" ht="19.5" customHeight="1">
      <c r="A270" s="28"/>
      <c r="B270" s="28"/>
      <c r="C270" s="28"/>
      <c r="D270" s="29"/>
      <c r="E270" s="29"/>
      <c r="F270" s="28"/>
      <c r="G270" s="28"/>
      <c r="H270" s="28"/>
      <c r="I270" s="28"/>
      <c r="J270" s="28"/>
      <c r="K270" s="28"/>
      <c r="L270" s="28"/>
      <c r="M270" s="28"/>
      <c r="N270" s="28"/>
      <c r="O270" s="28"/>
      <c r="P270" s="28"/>
      <c r="Q270" s="28"/>
      <c r="R270" s="28"/>
      <c r="S270" s="28"/>
      <c r="T270" s="28"/>
      <c r="U270" s="7"/>
      <c r="V270" s="28"/>
      <c r="W270" s="28"/>
      <c r="X270" s="2"/>
      <c r="Y270" s="2"/>
      <c r="Z270" s="2"/>
    </row>
    <row r="271" spans="1:26" ht="19.5" customHeight="1">
      <c r="A271" s="28"/>
      <c r="B271" s="28"/>
      <c r="C271" s="28"/>
      <c r="D271" s="29"/>
      <c r="E271" s="29"/>
      <c r="F271" s="28"/>
      <c r="G271" s="28"/>
      <c r="H271" s="28"/>
      <c r="I271" s="28"/>
      <c r="J271" s="28"/>
      <c r="K271" s="28"/>
      <c r="L271" s="28"/>
      <c r="M271" s="28"/>
      <c r="N271" s="28"/>
      <c r="O271" s="28"/>
      <c r="P271" s="28"/>
      <c r="Q271" s="28"/>
      <c r="R271" s="28"/>
      <c r="S271" s="28"/>
      <c r="T271" s="28"/>
      <c r="U271" s="7"/>
      <c r="V271" s="28"/>
      <c r="W271" s="28"/>
      <c r="X271" s="2"/>
      <c r="Y271" s="2"/>
      <c r="Z271" s="2"/>
    </row>
    <row r="272" spans="1:26" ht="19.5" customHeight="1">
      <c r="A272" s="28"/>
      <c r="B272" s="28"/>
      <c r="C272" s="28"/>
      <c r="D272" s="29"/>
      <c r="E272" s="29"/>
      <c r="F272" s="28"/>
      <c r="G272" s="28"/>
      <c r="H272" s="28"/>
      <c r="I272" s="28"/>
      <c r="J272" s="28"/>
      <c r="K272" s="28"/>
      <c r="L272" s="28"/>
      <c r="M272" s="28"/>
      <c r="N272" s="28"/>
      <c r="O272" s="28"/>
      <c r="P272" s="28"/>
      <c r="Q272" s="28"/>
      <c r="R272" s="28"/>
      <c r="S272" s="28"/>
      <c r="T272" s="28"/>
      <c r="U272" s="7"/>
      <c r="V272" s="28"/>
      <c r="W272" s="28"/>
      <c r="X272" s="2"/>
      <c r="Y272" s="2"/>
      <c r="Z272" s="2"/>
    </row>
    <row r="273" spans="1:26" ht="19.5" customHeight="1">
      <c r="A273" s="28"/>
      <c r="B273" s="28"/>
      <c r="C273" s="28"/>
      <c r="D273" s="29"/>
      <c r="E273" s="29"/>
      <c r="F273" s="28"/>
      <c r="G273" s="28"/>
      <c r="H273" s="28"/>
      <c r="I273" s="28"/>
      <c r="J273" s="28"/>
      <c r="K273" s="28"/>
      <c r="L273" s="28"/>
      <c r="M273" s="28"/>
      <c r="N273" s="28"/>
      <c r="O273" s="28"/>
      <c r="P273" s="28"/>
      <c r="Q273" s="28"/>
      <c r="R273" s="28"/>
      <c r="S273" s="28"/>
      <c r="T273" s="28"/>
      <c r="U273" s="7"/>
      <c r="V273" s="28"/>
      <c r="W273" s="28"/>
      <c r="X273" s="2"/>
      <c r="Y273" s="2"/>
      <c r="Z273" s="2"/>
    </row>
    <row r="274" spans="1:26" ht="19.5" customHeight="1">
      <c r="A274" s="28"/>
      <c r="B274" s="28"/>
      <c r="C274" s="28"/>
      <c r="D274" s="29"/>
      <c r="E274" s="29"/>
      <c r="F274" s="28"/>
      <c r="G274" s="28"/>
      <c r="H274" s="28"/>
      <c r="I274" s="28"/>
      <c r="J274" s="28"/>
      <c r="K274" s="28"/>
      <c r="L274" s="28"/>
      <c r="M274" s="28"/>
      <c r="N274" s="28"/>
      <c r="O274" s="28"/>
      <c r="P274" s="28"/>
      <c r="Q274" s="28"/>
      <c r="R274" s="28"/>
      <c r="S274" s="28"/>
      <c r="T274" s="28"/>
      <c r="U274" s="7"/>
      <c r="V274" s="28"/>
      <c r="W274" s="28"/>
      <c r="X274" s="2"/>
      <c r="Y274" s="2"/>
      <c r="Z274" s="2"/>
    </row>
    <row r="275" spans="1:26" ht="19.5" customHeight="1">
      <c r="A275" s="28"/>
      <c r="B275" s="28"/>
      <c r="C275" s="28"/>
      <c r="D275" s="29"/>
      <c r="E275" s="29"/>
      <c r="F275" s="28"/>
      <c r="G275" s="28"/>
      <c r="H275" s="28"/>
      <c r="I275" s="28"/>
      <c r="J275" s="28"/>
      <c r="K275" s="28"/>
      <c r="L275" s="28"/>
      <c r="M275" s="28"/>
      <c r="N275" s="28"/>
      <c r="O275" s="28"/>
      <c r="P275" s="28"/>
      <c r="Q275" s="28"/>
      <c r="R275" s="28"/>
      <c r="S275" s="28"/>
      <c r="T275" s="28"/>
      <c r="U275" s="7"/>
      <c r="V275" s="28"/>
      <c r="W275" s="28"/>
      <c r="X275" s="2"/>
      <c r="Y275" s="2"/>
      <c r="Z275" s="2"/>
    </row>
    <row r="276" spans="1:26" ht="19.5" customHeight="1">
      <c r="A276" s="28"/>
      <c r="B276" s="28"/>
      <c r="C276" s="28"/>
      <c r="D276" s="29"/>
      <c r="E276" s="29"/>
      <c r="F276" s="28"/>
      <c r="G276" s="28"/>
      <c r="H276" s="28"/>
      <c r="I276" s="28"/>
      <c r="J276" s="28"/>
      <c r="K276" s="28"/>
      <c r="L276" s="28"/>
      <c r="M276" s="28"/>
      <c r="N276" s="28"/>
      <c r="O276" s="28"/>
      <c r="P276" s="28"/>
      <c r="Q276" s="28"/>
      <c r="R276" s="28"/>
      <c r="S276" s="28"/>
      <c r="T276" s="28"/>
      <c r="U276" s="7"/>
      <c r="V276" s="28"/>
      <c r="W276" s="28"/>
      <c r="X276" s="2"/>
      <c r="Y276" s="2"/>
      <c r="Z276" s="2"/>
    </row>
    <row r="277" spans="1:26" ht="19.5" customHeight="1">
      <c r="A277" s="28"/>
      <c r="B277" s="28"/>
      <c r="C277" s="28"/>
      <c r="D277" s="29"/>
      <c r="E277" s="29"/>
      <c r="F277" s="28"/>
      <c r="G277" s="28"/>
      <c r="H277" s="28"/>
      <c r="I277" s="28"/>
      <c r="J277" s="28"/>
      <c r="K277" s="28"/>
      <c r="L277" s="28"/>
      <c r="M277" s="28"/>
      <c r="N277" s="28"/>
      <c r="O277" s="28"/>
      <c r="P277" s="28"/>
      <c r="Q277" s="28"/>
      <c r="R277" s="28"/>
      <c r="S277" s="28"/>
      <c r="T277" s="28"/>
      <c r="U277" s="7"/>
      <c r="V277" s="28"/>
      <c r="W277" s="28"/>
      <c r="X277" s="2"/>
      <c r="Y277" s="2"/>
      <c r="Z277" s="2"/>
    </row>
    <row r="278" spans="1:26" ht="19.5" customHeight="1">
      <c r="A278" s="28"/>
      <c r="B278" s="28"/>
      <c r="C278" s="28"/>
      <c r="D278" s="29"/>
      <c r="E278" s="29"/>
      <c r="F278" s="28"/>
      <c r="G278" s="28"/>
      <c r="H278" s="28"/>
      <c r="I278" s="28"/>
      <c r="J278" s="28"/>
      <c r="K278" s="28"/>
      <c r="L278" s="28"/>
      <c r="M278" s="28"/>
      <c r="N278" s="28"/>
      <c r="O278" s="28"/>
      <c r="P278" s="28"/>
      <c r="Q278" s="28"/>
      <c r="R278" s="28"/>
      <c r="S278" s="28"/>
      <c r="T278" s="28"/>
      <c r="U278" s="7"/>
      <c r="V278" s="28"/>
      <c r="W278" s="28"/>
      <c r="X278" s="2"/>
      <c r="Y278" s="2"/>
      <c r="Z278" s="2"/>
    </row>
    <row r="279" spans="1:26" ht="19.5" customHeight="1">
      <c r="A279" s="28"/>
      <c r="B279" s="28"/>
      <c r="C279" s="28"/>
      <c r="D279" s="29"/>
      <c r="E279" s="29"/>
      <c r="F279" s="28"/>
      <c r="G279" s="28"/>
      <c r="H279" s="28"/>
      <c r="I279" s="28"/>
      <c r="J279" s="28"/>
      <c r="K279" s="28"/>
      <c r="L279" s="28"/>
      <c r="M279" s="28"/>
      <c r="N279" s="28"/>
      <c r="O279" s="28"/>
      <c r="P279" s="28"/>
      <c r="Q279" s="28"/>
      <c r="R279" s="28"/>
      <c r="S279" s="28"/>
      <c r="T279" s="28"/>
      <c r="U279" s="7"/>
      <c r="V279" s="28"/>
      <c r="W279" s="28"/>
      <c r="X279" s="2"/>
      <c r="Y279" s="2"/>
      <c r="Z279" s="2"/>
    </row>
    <row r="280" spans="1:26" ht="19.5" customHeight="1">
      <c r="A280" s="28"/>
      <c r="B280" s="28"/>
      <c r="C280" s="28"/>
      <c r="D280" s="29"/>
      <c r="E280" s="29"/>
      <c r="F280" s="28"/>
      <c r="G280" s="28"/>
      <c r="H280" s="28"/>
      <c r="I280" s="28"/>
      <c r="J280" s="28"/>
      <c r="K280" s="28"/>
      <c r="L280" s="28"/>
      <c r="M280" s="28"/>
      <c r="N280" s="28"/>
      <c r="O280" s="28"/>
      <c r="P280" s="28"/>
      <c r="Q280" s="28"/>
      <c r="R280" s="28"/>
      <c r="S280" s="28"/>
      <c r="T280" s="28"/>
      <c r="U280" s="7"/>
      <c r="V280" s="28"/>
      <c r="W280" s="28"/>
      <c r="X280" s="2"/>
      <c r="Y280" s="2"/>
      <c r="Z280" s="2"/>
    </row>
    <row r="281" spans="1:26" ht="19.5" customHeight="1">
      <c r="A281" s="28"/>
      <c r="B281" s="28"/>
      <c r="C281" s="28"/>
      <c r="D281" s="29"/>
      <c r="E281" s="29"/>
      <c r="F281" s="28"/>
      <c r="G281" s="28"/>
      <c r="H281" s="28"/>
      <c r="I281" s="28"/>
      <c r="J281" s="28"/>
      <c r="K281" s="28"/>
      <c r="L281" s="28"/>
      <c r="M281" s="28"/>
      <c r="N281" s="28"/>
      <c r="O281" s="28"/>
      <c r="P281" s="28"/>
      <c r="Q281" s="28"/>
      <c r="R281" s="28"/>
      <c r="S281" s="28"/>
      <c r="T281" s="28"/>
      <c r="U281" s="7"/>
      <c r="V281" s="28"/>
      <c r="W281" s="28"/>
      <c r="X281" s="2"/>
      <c r="Y281" s="2"/>
      <c r="Z281" s="2"/>
    </row>
    <row r="282" spans="1:26" ht="19.5" customHeight="1">
      <c r="A282" s="28"/>
      <c r="B282" s="28"/>
      <c r="C282" s="28"/>
      <c r="D282" s="29"/>
      <c r="E282" s="29"/>
      <c r="F282" s="28"/>
      <c r="G282" s="28"/>
      <c r="H282" s="28"/>
      <c r="I282" s="28"/>
      <c r="J282" s="28"/>
      <c r="K282" s="28"/>
      <c r="L282" s="28"/>
      <c r="M282" s="28"/>
      <c r="N282" s="28"/>
      <c r="O282" s="28"/>
      <c r="P282" s="28"/>
      <c r="Q282" s="28"/>
      <c r="R282" s="28"/>
      <c r="S282" s="28"/>
      <c r="T282" s="28"/>
      <c r="U282" s="7"/>
      <c r="V282" s="28"/>
      <c r="W282" s="28"/>
      <c r="X282" s="2"/>
      <c r="Y282" s="2"/>
      <c r="Z282" s="2"/>
    </row>
    <row r="283" spans="1:26" ht="19.5" customHeight="1">
      <c r="A283" s="28"/>
      <c r="B283" s="28"/>
      <c r="C283" s="28"/>
      <c r="D283" s="29"/>
      <c r="E283" s="29"/>
      <c r="F283" s="28"/>
      <c r="G283" s="28"/>
      <c r="H283" s="28"/>
      <c r="I283" s="28"/>
      <c r="J283" s="28"/>
      <c r="K283" s="28"/>
      <c r="L283" s="28"/>
      <c r="M283" s="28"/>
      <c r="N283" s="28"/>
      <c r="O283" s="28"/>
      <c r="P283" s="28"/>
      <c r="Q283" s="28"/>
      <c r="R283" s="28"/>
      <c r="S283" s="28"/>
      <c r="T283" s="28"/>
      <c r="U283" s="7"/>
      <c r="V283" s="28"/>
      <c r="W283" s="28"/>
      <c r="X283" s="2"/>
      <c r="Y283" s="2"/>
      <c r="Z283" s="2"/>
    </row>
    <row r="284" spans="1:26" ht="19.5" customHeight="1">
      <c r="A284" s="28"/>
      <c r="B284" s="28"/>
      <c r="C284" s="28"/>
      <c r="D284" s="29"/>
      <c r="E284" s="29"/>
      <c r="F284" s="28"/>
      <c r="G284" s="28"/>
      <c r="H284" s="28"/>
      <c r="I284" s="28"/>
      <c r="J284" s="28"/>
      <c r="K284" s="28"/>
      <c r="L284" s="28"/>
      <c r="M284" s="28"/>
      <c r="N284" s="28"/>
      <c r="O284" s="28"/>
      <c r="P284" s="28"/>
      <c r="Q284" s="28"/>
      <c r="R284" s="28"/>
      <c r="S284" s="28"/>
      <c r="T284" s="28"/>
      <c r="U284" s="7"/>
      <c r="V284" s="28"/>
      <c r="W284" s="28"/>
      <c r="X284" s="2"/>
      <c r="Y284" s="2"/>
      <c r="Z284" s="2"/>
    </row>
    <row r="285" spans="1:26" ht="19.5" customHeight="1">
      <c r="A285" s="28"/>
      <c r="B285" s="28"/>
      <c r="C285" s="28"/>
      <c r="D285" s="29"/>
      <c r="E285" s="29"/>
      <c r="F285" s="28"/>
      <c r="G285" s="28"/>
      <c r="H285" s="28"/>
      <c r="I285" s="28"/>
      <c r="J285" s="28"/>
      <c r="K285" s="28"/>
      <c r="L285" s="28"/>
      <c r="M285" s="28"/>
      <c r="N285" s="28"/>
      <c r="O285" s="28"/>
      <c r="P285" s="28"/>
      <c r="Q285" s="28"/>
      <c r="R285" s="28"/>
      <c r="S285" s="28"/>
      <c r="T285" s="28"/>
      <c r="U285" s="7"/>
      <c r="V285" s="28"/>
      <c r="W285" s="28"/>
      <c r="X285" s="2"/>
      <c r="Y285" s="2"/>
      <c r="Z285" s="2"/>
    </row>
    <row r="286" spans="1:26" ht="19.5" customHeight="1">
      <c r="A286" s="28"/>
      <c r="B286" s="28"/>
      <c r="C286" s="28"/>
      <c r="D286" s="29"/>
      <c r="E286" s="29"/>
      <c r="F286" s="28"/>
      <c r="G286" s="28"/>
      <c r="H286" s="28"/>
      <c r="I286" s="28"/>
      <c r="J286" s="28"/>
      <c r="K286" s="28"/>
      <c r="L286" s="28"/>
      <c r="M286" s="28"/>
      <c r="N286" s="28"/>
      <c r="O286" s="28"/>
      <c r="P286" s="28"/>
      <c r="Q286" s="28"/>
      <c r="R286" s="28"/>
      <c r="S286" s="28"/>
      <c r="T286" s="28"/>
      <c r="U286" s="7"/>
      <c r="V286" s="28"/>
      <c r="W286" s="28"/>
      <c r="X286" s="2"/>
      <c r="Y286" s="2"/>
      <c r="Z286" s="2"/>
    </row>
    <row r="287" spans="1:26" ht="19.5" customHeight="1">
      <c r="A287" s="28"/>
      <c r="B287" s="28"/>
      <c r="C287" s="28"/>
      <c r="D287" s="29"/>
      <c r="E287" s="29"/>
      <c r="F287" s="28"/>
      <c r="G287" s="28"/>
      <c r="H287" s="28"/>
      <c r="I287" s="28"/>
      <c r="J287" s="28"/>
      <c r="K287" s="28"/>
      <c r="L287" s="28"/>
      <c r="M287" s="28"/>
      <c r="N287" s="28"/>
      <c r="O287" s="28"/>
      <c r="P287" s="28"/>
      <c r="Q287" s="28"/>
      <c r="R287" s="28"/>
      <c r="S287" s="28"/>
      <c r="T287" s="28"/>
      <c r="U287" s="7"/>
      <c r="V287" s="28"/>
      <c r="W287" s="28"/>
      <c r="X287" s="2"/>
      <c r="Y287" s="2"/>
      <c r="Z287" s="2"/>
    </row>
    <row r="288" spans="1:26" ht="19.5" customHeight="1">
      <c r="A288" s="28"/>
      <c r="B288" s="28"/>
      <c r="C288" s="28"/>
      <c r="D288" s="29"/>
      <c r="E288" s="29"/>
      <c r="F288" s="28"/>
      <c r="G288" s="28"/>
      <c r="H288" s="28"/>
      <c r="I288" s="28"/>
      <c r="J288" s="28"/>
      <c r="K288" s="28"/>
      <c r="L288" s="28"/>
      <c r="M288" s="28"/>
      <c r="N288" s="28"/>
      <c r="O288" s="28"/>
      <c r="P288" s="28"/>
      <c r="Q288" s="28"/>
      <c r="R288" s="28"/>
      <c r="S288" s="28"/>
      <c r="T288" s="28"/>
      <c r="U288" s="7"/>
      <c r="V288" s="28"/>
      <c r="W288" s="28"/>
      <c r="X288" s="2"/>
      <c r="Y288" s="2"/>
      <c r="Z288" s="2"/>
    </row>
    <row r="289" spans="1:26" ht="19.5" customHeight="1">
      <c r="A289" s="28"/>
      <c r="B289" s="28"/>
      <c r="C289" s="28"/>
      <c r="D289" s="29"/>
      <c r="E289" s="29"/>
      <c r="F289" s="28"/>
      <c r="G289" s="28"/>
      <c r="H289" s="28"/>
      <c r="I289" s="28"/>
      <c r="J289" s="28"/>
      <c r="K289" s="28"/>
      <c r="L289" s="28"/>
      <c r="M289" s="28"/>
      <c r="N289" s="28"/>
      <c r="O289" s="28"/>
      <c r="P289" s="28"/>
      <c r="Q289" s="28"/>
      <c r="R289" s="28"/>
      <c r="S289" s="28"/>
      <c r="T289" s="28"/>
      <c r="U289" s="7"/>
      <c r="V289" s="28"/>
      <c r="W289" s="28"/>
      <c r="X289" s="2"/>
      <c r="Y289" s="2"/>
      <c r="Z289" s="2"/>
    </row>
    <row r="290" spans="1:26" ht="19.5" customHeight="1">
      <c r="A290" s="28"/>
      <c r="B290" s="28"/>
      <c r="C290" s="28"/>
      <c r="D290" s="29"/>
      <c r="E290" s="29"/>
      <c r="F290" s="28"/>
      <c r="G290" s="28"/>
      <c r="H290" s="28"/>
      <c r="I290" s="28"/>
      <c r="J290" s="28"/>
      <c r="K290" s="28"/>
      <c r="L290" s="28"/>
      <c r="M290" s="28"/>
      <c r="N290" s="28"/>
      <c r="O290" s="28"/>
      <c r="P290" s="28"/>
      <c r="Q290" s="28"/>
      <c r="R290" s="28"/>
      <c r="S290" s="28"/>
      <c r="T290" s="28"/>
      <c r="U290" s="7"/>
      <c r="V290" s="28"/>
      <c r="W290" s="28"/>
      <c r="X290" s="2"/>
      <c r="Y290" s="2"/>
      <c r="Z290" s="2"/>
    </row>
    <row r="291" spans="1:26" ht="19.5" customHeight="1">
      <c r="A291" s="28"/>
      <c r="B291" s="28"/>
      <c r="C291" s="28"/>
      <c r="D291" s="29"/>
      <c r="E291" s="29"/>
      <c r="F291" s="28"/>
      <c r="G291" s="28"/>
      <c r="H291" s="28"/>
      <c r="I291" s="28"/>
      <c r="J291" s="28"/>
      <c r="K291" s="28"/>
      <c r="L291" s="28"/>
      <c r="M291" s="28"/>
      <c r="N291" s="28"/>
      <c r="O291" s="28"/>
      <c r="P291" s="28"/>
      <c r="Q291" s="28"/>
      <c r="R291" s="28"/>
      <c r="S291" s="28"/>
      <c r="T291" s="28"/>
      <c r="U291" s="7"/>
      <c r="V291" s="28"/>
      <c r="W291" s="28"/>
      <c r="X291" s="2"/>
      <c r="Y291" s="2"/>
      <c r="Z291" s="2"/>
    </row>
    <row r="292" spans="1:26" ht="19.5" customHeight="1">
      <c r="A292" s="28"/>
      <c r="B292" s="28"/>
      <c r="C292" s="28"/>
      <c r="D292" s="29"/>
      <c r="E292" s="29"/>
      <c r="F292" s="28"/>
      <c r="G292" s="28"/>
      <c r="H292" s="28"/>
      <c r="I292" s="28"/>
      <c r="J292" s="28"/>
      <c r="K292" s="28"/>
      <c r="L292" s="28"/>
      <c r="M292" s="28"/>
      <c r="N292" s="28"/>
      <c r="O292" s="28"/>
      <c r="P292" s="28"/>
      <c r="Q292" s="28"/>
      <c r="R292" s="28"/>
      <c r="S292" s="28"/>
      <c r="T292" s="28"/>
      <c r="U292" s="7"/>
      <c r="V292" s="28"/>
      <c r="W292" s="28"/>
      <c r="X292" s="2"/>
      <c r="Y292" s="2"/>
      <c r="Z292" s="2"/>
    </row>
    <row r="293" spans="1:26" ht="19.5" customHeight="1">
      <c r="A293" s="28"/>
      <c r="B293" s="28"/>
      <c r="C293" s="28"/>
      <c r="D293" s="29"/>
      <c r="E293" s="29"/>
      <c r="F293" s="28"/>
      <c r="G293" s="28"/>
      <c r="H293" s="28"/>
      <c r="I293" s="28"/>
      <c r="J293" s="28"/>
      <c r="K293" s="28"/>
      <c r="L293" s="28"/>
      <c r="M293" s="28"/>
      <c r="N293" s="28"/>
      <c r="O293" s="28"/>
      <c r="P293" s="28"/>
      <c r="Q293" s="28"/>
      <c r="R293" s="28"/>
      <c r="S293" s="28"/>
      <c r="T293" s="28"/>
      <c r="U293" s="7"/>
      <c r="V293" s="28"/>
      <c r="W293" s="28"/>
      <c r="X293" s="2"/>
      <c r="Y293" s="2"/>
      <c r="Z293" s="2"/>
    </row>
    <row r="294" spans="1:26" ht="19.5" customHeight="1">
      <c r="A294" s="28"/>
      <c r="B294" s="28"/>
      <c r="C294" s="28"/>
      <c r="D294" s="29"/>
      <c r="E294" s="29"/>
      <c r="F294" s="28"/>
      <c r="G294" s="28"/>
      <c r="H294" s="28"/>
      <c r="I294" s="28"/>
      <c r="J294" s="28"/>
      <c r="K294" s="28"/>
      <c r="L294" s="28"/>
      <c r="M294" s="28"/>
      <c r="N294" s="28"/>
      <c r="O294" s="28"/>
      <c r="P294" s="28"/>
      <c r="Q294" s="28"/>
      <c r="R294" s="28"/>
      <c r="S294" s="28"/>
      <c r="T294" s="28"/>
      <c r="U294" s="7"/>
      <c r="V294" s="28"/>
      <c r="W294" s="28"/>
      <c r="X294" s="2"/>
      <c r="Y294" s="2"/>
      <c r="Z294" s="2"/>
    </row>
    <row r="295" spans="1:26" ht="19.5" customHeight="1">
      <c r="A295" s="28"/>
      <c r="B295" s="28"/>
      <c r="C295" s="28"/>
      <c r="D295" s="29"/>
      <c r="E295" s="29"/>
      <c r="F295" s="28"/>
      <c r="G295" s="28"/>
      <c r="H295" s="28"/>
      <c r="I295" s="28"/>
      <c r="J295" s="28"/>
      <c r="K295" s="28"/>
      <c r="L295" s="28"/>
      <c r="M295" s="28"/>
      <c r="N295" s="28"/>
      <c r="O295" s="28"/>
      <c r="P295" s="28"/>
      <c r="Q295" s="28"/>
      <c r="R295" s="28"/>
      <c r="S295" s="28"/>
      <c r="T295" s="28"/>
      <c r="U295" s="7"/>
      <c r="V295" s="28"/>
      <c r="W295" s="28"/>
      <c r="X295" s="2"/>
      <c r="Y295" s="2"/>
      <c r="Z295" s="2"/>
    </row>
    <row r="296" spans="1:26" ht="19.5" customHeight="1">
      <c r="A296" s="28"/>
      <c r="B296" s="28"/>
      <c r="C296" s="28"/>
      <c r="D296" s="29"/>
      <c r="E296" s="29"/>
      <c r="F296" s="28"/>
      <c r="G296" s="28"/>
      <c r="H296" s="28"/>
      <c r="I296" s="28"/>
      <c r="J296" s="28"/>
      <c r="K296" s="28"/>
      <c r="L296" s="28"/>
      <c r="M296" s="28"/>
      <c r="N296" s="28"/>
      <c r="O296" s="28"/>
      <c r="P296" s="28"/>
      <c r="Q296" s="28"/>
      <c r="R296" s="28"/>
      <c r="S296" s="28"/>
      <c r="T296" s="28"/>
      <c r="U296" s="7"/>
      <c r="V296" s="28"/>
      <c r="W296" s="28"/>
      <c r="X296" s="2"/>
      <c r="Y296" s="2"/>
      <c r="Z296" s="2"/>
    </row>
    <row r="297" spans="1:26" ht="19.5" customHeight="1">
      <c r="A297" s="28"/>
      <c r="B297" s="28"/>
      <c r="C297" s="28"/>
      <c r="D297" s="29"/>
      <c r="E297" s="29"/>
      <c r="F297" s="28"/>
      <c r="G297" s="28"/>
      <c r="H297" s="28"/>
      <c r="I297" s="28"/>
      <c r="J297" s="28"/>
      <c r="K297" s="28"/>
      <c r="L297" s="28"/>
      <c r="M297" s="28"/>
      <c r="N297" s="28"/>
      <c r="O297" s="28"/>
      <c r="P297" s="28"/>
      <c r="Q297" s="28"/>
      <c r="R297" s="28"/>
      <c r="S297" s="28"/>
      <c r="T297" s="28"/>
      <c r="U297" s="7"/>
      <c r="V297" s="28"/>
      <c r="W297" s="28"/>
      <c r="X297" s="2"/>
      <c r="Y297" s="2"/>
      <c r="Z297" s="2"/>
    </row>
    <row r="298" spans="1:26" ht="19.5" customHeight="1">
      <c r="A298" s="28"/>
      <c r="B298" s="28"/>
      <c r="C298" s="28"/>
      <c r="D298" s="29"/>
      <c r="E298" s="29"/>
      <c r="F298" s="28"/>
      <c r="G298" s="28"/>
      <c r="H298" s="28"/>
      <c r="I298" s="28"/>
      <c r="J298" s="28"/>
      <c r="K298" s="28"/>
      <c r="L298" s="28"/>
      <c r="M298" s="28"/>
      <c r="N298" s="28"/>
      <c r="O298" s="28"/>
      <c r="P298" s="28"/>
      <c r="Q298" s="28"/>
      <c r="R298" s="28"/>
      <c r="S298" s="28"/>
      <c r="T298" s="28"/>
      <c r="U298" s="7"/>
      <c r="V298" s="28"/>
      <c r="W298" s="28"/>
      <c r="X298" s="2"/>
      <c r="Y298" s="2"/>
      <c r="Z298" s="2"/>
    </row>
    <row r="299" spans="1:26" ht="19.5" customHeight="1">
      <c r="A299" s="28"/>
      <c r="B299" s="28"/>
      <c r="C299" s="28"/>
      <c r="D299" s="29"/>
      <c r="E299" s="29"/>
      <c r="F299" s="28"/>
      <c r="G299" s="28"/>
      <c r="H299" s="28"/>
      <c r="I299" s="28"/>
      <c r="J299" s="28"/>
      <c r="K299" s="28"/>
      <c r="L299" s="28"/>
      <c r="M299" s="28"/>
      <c r="N299" s="28"/>
      <c r="O299" s="28"/>
      <c r="P299" s="28"/>
      <c r="Q299" s="28"/>
      <c r="R299" s="28"/>
      <c r="S299" s="28"/>
      <c r="T299" s="28"/>
      <c r="U299" s="7"/>
      <c r="V299" s="28"/>
      <c r="W299" s="28"/>
      <c r="X299" s="2"/>
      <c r="Y299" s="2"/>
      <c r="Z299" s="2"/>
    </row>
    <row r="300" spans="1:26" ht="19.5" customHeight="1">
      <c r="A300" s="28"/>
      <c r="B300" s="28"/>
      <c r="C300" s="28"/>
      <c r="D300" s="29"/>
      <c r="E300" s="29"/>
      <c r="F300" s="28"/>
      <c r="G300" s="28"/>
      <c r="H300" s="28"/>
      <c r="I300" s="28"/>
      <c r="J300" s="28"/>
      <c r="K300" s="28"/>
      <c r="L300" s="28"/>
      <c r="M300" s="28"/>
      <c r="N300" s="28"/>
      <c r="O300" s="28"/>
      <c r="P300" s="28"/>
      <c r="Q300" s="28"/>
      <c r="R300" s="28"/>
      <c r="S300" s="28"/>
      <c r="T300" s="28"/>
      <c r="U300" s="7"/>
      <c r="V300" s="28"/>
      <c r="W300" s="28"/>
      <c r="X300" s="2"/>
      <c r="Y300" s="2"/>
      <c r="Z300" s="2"/>
    </row>
    <row r="301" spans="1:26" ht="19.5" customHeight="1">
      <c r="A301" s="28"/>
      <c r="B301" s="28"/>
      <c r="C301" s="28"/>
      <c r="D301" s="29"/>
      <c r="E301" s="29"/>
      <c r="F301" s="28"/>
      <c r="G301" s="28"/>
      <c r="H301" s="28"/>
      <c r="I301" s="28"/>
      <c r="J301" s="28"/>
      <c r="K301" s="28"/>
      <c r="L301" s="28"/>
      <c r="M301" s="28"/>
      <c r="N301" s="28"/>
      <c r="O301" s="28"/>
      <c r="P301" s="28"/>
      <c r="Q301" s="28"/>
      <c r="R301" s="28"/>
      <c r="S301" s="28"/>
      <c r="T301" s="28"/>
      <c r="U301" s="7"/>
      <c r="V301" s="28"/>
      <c r="W301" s="28"/>
      <c r="X301" s="2"/>
      <c r="Y301" s="2"/>
      <c r="Z301" s="2"/>
    </row>
    <row r="302" spans="1:26" ht="19.5" customHeight="1">
      <c r="A302" s="28"/>
      <c r="B302" s="28"/>
      <c r="C302" s="28"/>
      <c r="D302" s="29"/>
      <c r="E302" s="29"/>
      <c r="F302" s="28"/>
      <c r="G302" s="28"/>
      <c r="H302" s="28"/>
      <c r="I302" s="28"/>
      <c r="J302" s="28"/>
      <c r="K302" s="28"/>
      <c r="L302" s="28"/>
      <c r="M302" s="28"/>
      <c r="N302" s="28"/>
      <c r="O302" s="28"/>
      <c r="P302" s="28"/>
      <c r="Q302" s="28"/>
      <c r="R302" s="28"/>
      <c r="S302" s="28"/>
      <c r="T302" s="28"/>
      <c r="U302" s="7"/>
      <c r="V302" s="28"/>
      <c r="W302" s="28"/>
      <c r="X302" s="2"/>
      <c r="Y302" s="2"/>
      <c r="Z302" s="2"/>
    </row>
    <row r="303" spans="1:26" ht="19.5" customHeight="1">
      <c r="A303" s="28"/>
      <c r="B303" s="28"/>
      <c r="C303" s="28"/>
      <c r="D303" s="29"/>
      <c r="E303" s="29"/>
      <c r="F303" s="28"/>
      <c r="G303" s="28"/>
      <c r="H303" s="28"/>
      <c r="I303" s="28"/>
      <c r="J303" s="28"/>
      <c r="K303" s="28"/>
      <c r="L303" s="28"/>
      <c r="M303" s="28"/>
      <c r="N303" s="28"/>
      <c r="O303" s="28"/>
      <c r="P303" s="28"/>
      <c r="Q303" s="28"/>
      <c r="R303" s="28"/>
      <c r="S303" s="28"/>
      <c r="T303" s="28"/>
      <c r="U303" s="7"/>
      <c r="V303" s="28"/>
      <c r="W303" s="28"/>
      <c r="X303" s="2"/>
      <c r="Y303" s="2"/>
      <c r="Z303" s="2"/>
    </row>
    <row r="304" spans="1:26" ht="19.5" customHeight="1">
      <c r="A304" s="28"/>
      <c r="B304" s="28"/>
      <c r="C304" s="28"/>
      <c r="D304" s="29"/>
      <c r="E304" s="29"/>
      <c r="F304" s="28"/>
      <c r="G304" s="28"/>
      <c r="H304" s="28"/>
      <c r="I304" s="28"/>
      <c r="J304" s="28"/>
      <c r="K304" s="28"/>
      <c r="L304" s="28"/>
      <c r="M304" s="28"/>
      <c r="N304" s="28"/>
      <c r="O304" s="28"/>
      <c r="P304" s="28"/>
      <c r="Q304" s="28"/>
      <c r="R304" s="28"/>
      <c r="S304" s="28"/>
      <c r="T304" s="28"/>
      <c r="U304" s="7"/>
      <c r="V304" s="28"/>
      <c r="W304" s="28"/>
      <c r="X304" s="2"/>
      <c r="Y304" s="2"/>
      <c r="Z304" s="2"/>
    </row>
    <row r="305" spans="1:26" ht="19.5" customHeight="1">
      <c r="A305" s="28"/>
      <c r="B305" s="28"/>
      <c r="C305" s="28"/>
      <c r="D305" s="29"/>
      <c r="E305" s="29"/>
      <c r="F305" s="28"/>
      <c r="G305" s="28"/>
      <c r="H305" s="28"/>
      <c r="I305" s="28"/>
      <c r="J305" s="28"/>
      <c r="K305" s="28"/>
      <c r="L305" s="28"/>
      <c r="M305" s="28"/>
      <c r="N305" s="28"/>
      <c r="O305" s="28"/>
      <c r="P305" s="28"/>
      <c r="Q305" s="28"/>
      <c r="R305" s="28"/>
      <c r="S305" s="28"/>
      <c r="T305" s="28"/>
      <c r="U305" s="7"/>
      <c r="V305" s="28"/>
      <c r="W305" s="28"/>
      <c r="X305" s="2"/>
      <c r="Y305" s="2"/>
      <c r="Z305" s="2"/>
    </row>
    <row r="306" spans="1:26" ht="19.5" customHeight="1">
      <c r="A306" s="28"/>
      <c r="B306" s="28"/>
      <c r="C306" s="28"/>
      <c r="D306" s="29"/>
      <c r="E306" s="29"/>
      <c r="F306" s="28"/>
      <c r="G306" s="28"/>
      <c r="H306" s="28"/>
      <c r="I306" s="28"/>
      <c r="J306" s="28"/>
      <c r="K306" s="28"/>
      <c r="L306" s="28"/>
      <c r="M306" s="28"/>
      <c r="N306" s="28"/>
      <c r="O306" s="28"/>
      <c r="P306" s="28"/>
      <c r="Q306" s="28"/>
      <c r="R306" s="28"/>
      <c r="S306" s="28"/>
      <c r="T306" s="28"/>
      <c r="U306" s="7"/>
      <c r="V306" s="28"/>
      <c r="W306" s="28"/>
      <c r="X306" s="2"/>
      <c r="Y306" s="2"/>
      <c r="Z306" s="2"/>
    </row>
    <row r="307" spans="1:26" ht="19.5" customHeight="1">
      <c r="A307" s="28"/>
      <c r="B307" s="28"/>
      <c r="C307" s="28"/>
      <c r="D307" s="29"/>
      <c r="E307" s="29"/>
      <c r="F307" s="28"/>
      <c r="G307" s="28"/>
      <c r="H307" s="28"/>
      <c r="I307" s="28"/>
      <c r="J307" s="28"/>
      <c r="K307" s="28"/>
      <c r="L307" s="28"/>
      <c r="M307" s="28"/>
      <c r="N307" s="28"/>
      <c r="O307" s="28"/>
      <c r="P307" s="28"/>
      <c r="Q307" s="28"/>
      <c r="R307" s="28"/>
      <c r="S307" s="28"/>
      <c r="T307" s="28"/>
      <c r="U307" s="7"/>
      <c r="V307" s="28"/>
      <c r="W307" s="28"/>
      <c r="X307" s="2"/>
      <c r="Y307" s="2"/>
      <c r="Z307" s="2"/>
    </row>
    <row r="308" spans="1:26" ht="19.5" customHeight="1">
      <c r="A308" s="28"/>
      <c r="B308" s="28"/>
      <c r="C308" s="28"/>
      <c r="D308" s="29"/>
      <c r="E308" s="29"/>
      <c r="F308" s="28"/>
      <c r="G308" s="28"/>
      <c r="H308" s="28"/>
      <c r="I308" s="28"/>
      <c r="J308" s="28"/>
      <c r="K308" s="28"/>
      <c r="L308" s="28"/>
      <c r="M308" s="28"/>
      <c r="N308" s="28"/>
      <c r="O308" s="28"/>
      <c r="P308" s="28"/>
      <c r="Q308" s="28"/>
      <c r="R308" s="28"/>
      <c r="S308" s="28"/>
      <c r="T308" s="28"/>
      <c r="U308" s="7"/>
      <c r="V308" s="28"/>
      <c r="W308" s="28"/>
      <c r="X308" s="2"/>
      <c r="Y308" s="2"/>
      <c r="Z308" s="2"/>
    </row>
    <row r="309" spans="1:26" ht="19.5" customHeight="1">
      <c r="A309" s="28"/>
      <c r="B309" s="28"/>
      <c r="C309" s="28"/>
      <c r="D309" s="29"/>
      <c r="E309" s="29"/>
      <c r="F309" s="28"/>
      <c r="G309" s="28"/>
      <c r="H309" s="28"/>
      <c r="I309" s="28"/>
      <c r="J309" s="28"/>
      <c r="K309" s="28"/>
      <c r="L309" s="28"/>
      <c r="M309" s="28"/>
      <c r="N309" s="28"/>
      <c r="O309" s="28"/>
      <c r="P309" s="28"/>
      <c r="Q309" s="28"/>
      <c r="R309" s="28"/>
      <c r="S309" s="28"/>
      <c r="T309" s="28"/>
      <c r="U309" s="7"/>
      <c r="V309" s="28"/>
      <c r="W309" s="28"/>
      <c r="X309" s="2"/>
      <c r="Y309" s="2"/>
      <c r="Z309" s="2"/>
    </row>
    <row r="310" spans="1:26" ht="19.5" customHeight="1">
      <c r="A310" s="28"/>
      <c r="B310" s="28"/>
      <c r="C310" s="28"/>
      <c r="D310" s="29"/>
      <c r="E310" s="29"/>
      <c r="F310" s="28"/>
      <c r="G310" s="28"/>
      <c r="H310" s="28"/>
      <c r="I310" s="28"/>
      <c r="J310" s="28"/>
      <c r="K310" s="28"/>
      <c r="L310" s="28"/>
      <c r="M310" s="28"/>
      <c r="N310" s="28"/>
      <c r="O310" s="28"/>
      <c r="P310" s="28"/>
      <c r="Q310" s="28"/>
      <c r="R310" s="28"/>
      <c r="S310" s="28"/>
      <c r="T310" s="28"/>
      <c r="U310" s="7"/>
      <c r="V310" s="28"/>
      <c r="W310" s="28"/>
      <c r="X310" s="2"/>
      <c r="Y310" s="2"/>
      <c r="Z310" s="2"/>
    </row>
    <row r="311" spans="1:26" ht="19.5" customHeight="1">
      <c r="A311" s="28"/>
      <c r="B311" s="28"/>
      <c r="C311" s="28"/>
      <c r="D311" s="29"/>
      <c r="E311" s="29"/>
      <c r="F311" s="28"/>
      <c r="G311" s="28"/>
      <c r="H311" s="28"/>
      <c r="I311" s="28"/>
      <c r="J311" s="28"/>
      <c r="K311" s="28"/>
      <c r="L311" s="28"/>
      <c r="M311" s="28"/>
      <c r="N311" s="28"/>
      <c r="O311" s="28"/>
      <c r="P311" s="28"/>
      <c r="Q311" s="28"/>
      <c r="R311" s="28"/>
      <c r="S311" s="28"/>
      <c r="T311" s="28"/>
      <c r="U311" s="7"/>
      <c r="V311" s="28"/>
      <c r="W311" s="28"/>
      <c r="X311" s="2"/>
      <c r="Y311" s="2"/>
      <c r="Z311" s="2"/>
    </row>
    <row r="312" spans="1:26" ht="19.5" customHeight="1">
      <c r="A312" s="28"/>
      <c r="B312" s="28"/>
      <c r="C312" s="28"/>
      <c r="D312" s="29"/>
      <c r="E312" s="29"/>
      <c r="F312" s="28"/>
      <c r="G312" s="28"/>
      <c r="H312" s="28"/>
      <c r="I312" s="28"/>
      <c r="J312" s="28"/>
      <c r="K312" s="28"/>
      <c r="L312" s="28"/>
      <c r="M312" s="28"/>
      <c r="N312" s="28"/>
      <c r="O312" s="28"/>
      <c r="P312" s="28"/>
      <c r="Q312" s="28"/>
      <c r="R312" s="28"/>
      <c r="S312" s="28"/>
      <c r="T312" s="28"/>
      <c r="U312" s="7"/>
      <c r="V312" s="28"/>
      <c r="W312" s="28"/>
      <c r="X312" s="2"/>
      <c r="Y312" s="2"/>
      <c r="Z312" s="2"/>
    </row>
    <row r="313" spans="1:26" ht="19.5" customHeight="1">
      <c r="A313" s="28"/>
      <c r="B313" s="28"/>
      <c r="C313" s="28"/>
      <c r="D313" s="29"/>
      <c r="E313" s="29"/>
      <c r="F313" s="28"/>
      <c r="G313" s="28"/>
      <c r="H313" s="28"/>
      <c r="I313" s="28"/>
      <c r="J313" s="28"/>
      <c r="K313" s="28"/>
      <c r="L313" s="28"/>
      <c r="M313" s="28"/>
      <c r="N313" s="28"/>
      <c r="O313" s="28"/>
      <c r="P313" s="28"/>
      <c r="Q313" s="28"/>
      <c r="R313" s="28"/>
      <c r="S313" s="28"/>
      <c r="T313" s="28"/>
      <c r="U313" s="7"/>
      <c r="V313" s="28"/>
      <c r="W313" s="28"/>
      <c r="X313" s="2"/>
      <c r="Y313" s="2"/>
      <c r="Z313" s="2"/>
    </row>
    <row r="314" spans="1:26" ht="19.5" customHeight="1">
      <c r="A314" s="28"/>
      <c r="B314" s="28"/>
      <c r="C314" s="28"/>
      <c r="D314" s="29"/>
      <c r="E314" s="29"/>
      <c r="F314" s="28"/>
      <c r="G314" s="28"/>
      <c r="H314" s="28"/>
      <c r="I314" s="28"/>
      <c r="J314" s="28"/>
      <c r="K314" s="28"/>
      <c r="L314" s="28"/>
      <c r="M314" s="28"/>
      <c r="N314" s="28"/>
      <c r="O314" s="28"/>
      <c r="P314" s="28"/>
      <c r="Q314" s="28"/>
      <c r="R314" s="28"/>
      <c r="S314" s="28"/>
      <c r="T314" s="28"/>
      <c r="U314" s="7"/>
      <c r="V314" s="28"/>
      <c r="W314" s="28"/>
      <c r="X314" s="2"/>
      <c r="Y314" s="2"/>
      <c r="Z314" s="2"/>
    </row>
    <row r="315" spans="1:26" ht="19.5" customHeight="1">
      <c r="A315" s="28"/>
      <c r="B315" s="28"/>
      <c r="C315" s="28"/>
      <c r="D315" s="29"/>
      <c r="E315" s="29"/>
      <c r="F315" s="28"/>
      <c r="G315" s="28"/>
      <c r="H315" s="28"/>
      <c r="I315" s="28"/>
      <c r="J315" s="28"/>
      <c r="K315" s="28"/>
      <c r="L315" s="28"/>
      <c r="M315" s="28"/>
      <c r="N315" s="28"/>
      <c r="O315" s="28"/>
      <c r="P315" s="28"/>
      <c r="Q315" s="28"/>
      <c r="R315" s="28"/>
      <c r="S315" s="28"/>
      <c r="T315" s="28"/>
      <c r="U315" s="7"/>
      <c r="V315" s="28"/>
      <c r="W315" s="28"/>
      <c r="X315" s="2"/>
      <c r="Y315" s="2"/>
      <c r="Z315" s="2"/>
    </row>
    <row r="316" spans="1:26" ht="19.5" customHeight="1">
      <c r="A316" s="28"/>
      <c r="B316" s="28"/>
      <c r="C316" s="28"/>
      <c r="D316" s="29"/>
      <c r="E316" s="29"/>
      <c r="F316" s="28"/>
      <c r="G316" s="28"/>
      <c r="H316" s="28"/>
      <c r="I316" s="28"/>
      <c r="J316" s="28"/>
      <c r="K316" s="28"/>
      <c r="L316" s="28"/>
      <c r="M316" s="28"/>
      <c r="N316" s="28"/>
      <c r="O316" s="28"/>
      <c r="P316" s="28"/>
      <c r="Q316" s="28"/>
      <c r="R316" s="28"/>
      <c r="S316" s="28"/>
      <c r="T316" s="28"/>
      <c r="U316" s="7"/>
      <c r="V316" s="28"/>
      <c r="W316" s="28"/>
      <c r="X316" s="2"/>
      <c r="Y316" s="2"/>
      <c r="Z316" s="2"/>
    </row>
    <row r="317" spans="1:26" ht="19.5" customHeight="1">
      <c r="A317" s="28"/>
      <c r="B317" s="28"/>
      <c r="C317" s="28"/>
      <c r="D317" s="29"/>
      <c r="E317" s="29"/>
      <c r="F317" s="28"/>
      <c r="G317" s="28"/>
      <c r="H317" s="28"/>
      <c r="I317" s="28"/>
      <c r="J317" s="28"/>
      <c r="K317" s="28"/>
      <c r="L317" s="28"/>
      <c r="M317" s="28"/>
      <c r="N317" s="28"/>
      <c r="O317" s="28"/>
      <c r="P317" s="28"/>
      <c r="Q317" s="28"/>
      <c r="R317" s="28"/>
      <c r="S317" s="28"/>
      <c r="T317" s="28"/>
      <c r="U317" s="7"/>
      <c r="V317" s="28"/>
      <c r="W317" s="28"/>
      <c r="X317" s="2"/>
      <c r="Y317" s="2"/>
      <c r="Z317" s="2"/>
    </row>
    <row r="318" spans="1:26" ht="19.5" customHeight="1">
      <c r="A318" s="28"/>
      <c r="B318" s="28"/>
      <c r="C318" s="28"/>
      <c r="D318" s="29"/>
      <c r="E318" s="29"/>
      <c r="F318" s="28"/>
      <c r="G318" s="28"/>
      <c r="H318" s="28"/>
      <c r="I318" s="28"/>
      <c r="J318" s="28"/>
      <c r="K318" s="28"/>
      <c r="L318" s="28"/>
      <c r="M318" s="28"/>
      <c r="N318" s="28"/>
      <c r="O318" s="28"/>
      <c r="P318" s="28"/>
      <c r="Q318" s="28"/>
      <c r="R318" s="28"/>
      <c r="S318" s="28"/>
      <c r="T318" s="28"/>
      <c r="U318" s="7"/>
      <c r="V318" s="28"/>
      <c r="W318" s="28"/>
      <c r="X318" s="2"/>
      <c r="Y318" s="2"/>
      <c r="Z318" s="2"/>
    </row>
    <row r="319" spans="1:26" ht="19.5" customHeight="1">
      <c r="A319" s="28"/>
      <c r="B319" s="28"/>
      <c r="C319" s="28"/>
      <c r="D319" s="29"/>
      <c r="E319" s="29"/>
      <c r="F319" s="28"/>
      <c r="G319" s="28"/>
      <c r="H319" s="28"/>
      <c r="I319" s="28"/>
      <c r="J319" s="28"/>
      <c r="K319" s="28"/>
      <c r="L319" s="28"/>
      <c r="M319" s="28"/>
      <c r="N319" s="28"/>
      <c r="O319" s="28"/>
      <c r="P319" s="28"/>
      <c r="Q319" s="28"/>
      <c r="R319" s="28"/>
      <c r="S319" s="28"/>
      <c r="T319" s="28"/>
      <c r="U319" s="7"/>
      <c r="V319" s="28"/>
      <c r="W319" s="28"/>
      <c r="X319" s="2"/>
      <c r="Y319" s="2"/>
      <c r="Z319" s="2"/>
    </row>
    <row r="320" spans="1:26" ht="19.5" customHeight="1">
      <c r="A320" s="28"/>
      <c r="B320" s="28"/>
      <c r="C320" s="28"/>
      <c r="D320" s="29"/>
      <c r="E320" s="29"/>
      <c r="F320" s="28"/>
      <c r="G320" s="28"/>
      <c r="H320" s="28"/>
      <c r="I320" s="28"/>
      <c r="J320" s="28"/>
      <c r="K320" s="28"/>
      <c r="L320" s="28"/>
      <c r="M320" s="28"/>
      <c r="N320" s="28"/>
      <c r="O320" s="28"/>
      <c r="P320" s="28"/>
      <c r="Q320" s="28"/>
      <c r="R320" s="28"/>
      <c r="S320" s="28"/>
      <c r="T320" s="28"/>
      <c r="U320" s="7"/>
      <c r="V320" s="28"/>
      <c r="W320" s="28"/>
      <c r="X320" s="2"/>
      <c r="Y320" s="2"/>
      <c r="Z320" s="2"/>
    </row>
    <row r="321" spans="1:26" ht="19.5" customHeight="1">
      <c r="A321" s="28"/>
      <c r="B321" s="28"/>
      <c r="C321" s="28"/>
      <c r="D321" s="29"/>
      <c r="E321" s="29"/>
      <c r="F321" s="28"/>
      <c r="G321" s="28"/>
      <c r="H321" s="28"/>
      <c r="I321" s="28"/>
      <c r="J321" s="28"/>
      <c r="K321" s="28"/>
      <c r="L321" s="28"/>
      <c r="M321" s="28"/>
      <c r="N321" s="28"/>
      <c r="O321" s="28"/>
      <c r="P321" s="28"/>
      <c r="Q321" s="28"/>
      <c r="R321" s="28"/>
      <c r="S321" s="28"/>
      <c r="T321" s="28"/>
      <c r="U321" s="7"/>
      <c r="V321" s="28"/>
      <c r="W321" s="28"/>
      <c r="X321" s="2"/>
      <c r="Y321" s="2"/>
      <c r="Z321" s="2"/>
    </row>
    <row r="322" spans="1:26" ht="19.5" customHeight="1">
      <c r="A322" s="28"/>
      <c r="B322" s="28"/>
      <c r="C322" s="28"/>
      <c r="D322" s="29"/>
      <c r="E322" s="29"/>
      <c r="F322" s="28"/>
      <c r="G322" s="28"/>
      <c r="H322" s="28"/>
      <c r="I322" s="28"/>
      <c r="J322" s="28"/>
      <c r="K322" s="28"/>
      <c r="L322" s="28"/>
      <c r="M322" s="28"/>
      <c r="N322" s="28"/>
      <c r="O322" s="28"/>
      <c r="P322" s="28"/>
      <c r="Q322" s="28"/>
      <c r="R322" s="28"/>
      <c r="S322" s="28"/>
      <c r="T322" s="28"/>
      <c r="U322" s="7"/>
      <c r="V322" s="28"/>
      <c r="W322" s="28"/>
      <c r="X322" s="2"/>
      <c r="Y322" s="2"/>
      <c r="Z322" s="2"/>
    </row>
    <row r="323" spans="1:26" ht="19.5" customHeight="1">
      <c r="A323" s="28"/>
      <c r="B323" s="28"/>
      <c r="C323" s="28"/>
      <c r="D323" s="29"/>
      <c r="E323" s="29"/>
      <c r="F323" s="28"/>
      <c r="G323" s="28"/>
      <c r="H323" s="28"/>
      <c r="I323" s="28"/>
      <c r="J323" s="28"/>
      <c r="K323" s="28"/>
      <c r="L323" s="28"/>
      <c r="M323" s="28"/>
      <c r="N323" s="28"/>
      <c r="O323" s="28"/>
      <c r="P323" s="28"/>
      <c r="Q323" s="28"/>
      <c r="R323" s="28"/>
      <c r="S323" s="28"/>
      <c r="T323" s="28"/>
      <c r="U323" s="7"/>
      <c r="V323" s="28"/>
      <c r="W323" s="28"/>
      <c r="X323" s="2"/>
      <c r="Y323" s="2"/>
      <c r="Z323" s="2"/>
    </row>
    <row r="324" spans="1:26" ht="19.5" customHeight="1">
      <c r="A324" s="28"/>
      <c r="B324" s="28"/>
      <c r="C324" s="28"/>
      <c r="D324" s="29"/>
      <c r="E324" s="29"/>
      <c r="F324" s="28"/>
      <c r="G324" s="28"/>
      <c r="H324" s="28"/>
      <c r="I324" s="28"/>
      <c r="J324" s="28"/>
      <c r="K324" s="28"/>
      <c r="L324" s="28"/>
      <c r="M324" s="28"/>
      <c r="N324" s="28"/>
      <c r="O324" s="28"/>
      <c r="P324" s="28"/>
      <c r="Q324" s="28"/>
      <c r="R324" s="28"/>
      <c r="S324" s="28"/>
      <c r="T324" s="28"/>
      <c r="U324" s="7"/>
      <c r="V324" s="28"/>
      <c r="W324" s="28"/>
      <c r="X324" s="2"/>
      <c r="Y324" s="2"/>
      <c r="Z324" s="2"/>
    </row>
    <row r="325" spans="1:26" ht="19.5" customHeight="1">
      <c r="A325" s="28"/>
      <c r="B325" s="28"/>
      <c r="C325" s="28"/>
      <c r="D325" s="29"/>
      <c r="E325" s="29"/>
      <c r="F325" s="28"/>
      <c r="G325" s="28"/>
      <c r="H325" s="28"/>
      <c r="I325" s="28"/>
      <c r="J325" s="28"/>
      <c r="K325" s="28"/>
      <c r="L325" s="28"/>
      <c r="M325" s="28"/>
      <c r="N325" s="28"/>
      <c r="O325" s="28"/>
      <c r="P325" s="28"/>
      <c r="Q325" s="28"/>
      <c r="R325" s="28"/>
      <c r="S325" s="28"/>
      <c r="T325" s="28"/>
      <c r="U325" s="7"/>
      <c r="V325" s="28"/>
      <c r="W325" s="28"/>
      <c r="X325" s="2"/>
      <c r="Y325" s="2"/>
      <c r="Z325" s="2"/>
    </row>
    <row r="326" spans="1:26" ht="19.5" customHeight="1">
      <c r="A326" s="28"/>
      <c r="B326" s="28"/>
      <c r="C326" s="28"/>
      <c r="D326" s="29"/>
      <c r="E326" s="29"/>
      <c r="F326" s="28"/>
      <c r="G326" s="28"/>
      <c r="H326" s="28"/>
      <c r="I326" s="28"/>
      <c r="J326" s="28"/>
      <c r="K326" s="28"/>
      <c r="L326" s="28"/>
      <c r="M326" s="28"/>
      <c r="N326" s="28"/>
      <c r="O326" s="28"/>
      <c r="P326" s="28"/>
      <c r="Q326" s="28"/>
      <c r="R326" s="28"/>
      <c r="S326" s="28"/>
      <c r="T326" s="28"/>
      <c r="U326" s="7"/>
      <c r="V326" s="28"/>
      <c r="W326" s="28"/>
      <c r="X326" s="2"/>
      <c r="Y326" s="2"/>
      <c r="Z326" s="2"/>
    </row>
    <row r="327" spans="1:26" ht="19.5" customHeight="1">
      <c r="A327" s="28"/>
      <c r="B327" s="28"/>
      <c r="C327" s="28"/>
      <c r="D327" s="29"/>
      <c r="E327" s="29"/>
      <c r="F327" s="28"/>
      <c r="G327" s="28"/>
      <c r="H327" s="28"/>
      <c r="I327" s="28"/>
      <c r="J327" s="28"/>
      <c r="K327" s="28"/>
      <c r="L327" s="28"/>
      <c r="M327" s="28"/>
      <c r="N327" s="28"/>
      <c r="O327" s="28"/>
      <c r="P327" s="28"/>
      <c r="Q327" s="28"/>
      <c r="R327" s="28"/>
      <c r="S327" s="28"/>
      <c r="T327" s="28"/>
      <c r="U327" s="7"/>
      <c r="V327" s="28"/>
      <c r="W327" s="28"/>
      <c r="X327" s="2"/>
      <c r="Y327" s="2"/>
      <c r="Z327" s="2"/>
    </row>
    <row r="328" spans="1:26" ht="19.5" customHeight="1">
      <c r="A328" s="28"/>
      <c r="B328" s="28"/>
      <c r="C328" s="28"/>
      <c r="D328" s="29"/>
      <c r="E328" s="29"/>
      <c r="F328" s="28"/>
      <c r="G328" s="28"/>
      <c r="H328" s="28"/>
      <c r="I328" s="28"/>
      <c r="J328" s="28"/>
      <c r="K328" s="28"/>
      <c r="L328" s="28"/>
      <c r="M328" s="28"/>
      <c r="N328" s="28"/>
      <c r="O328" s="28"/>
      <c r="P328" s="28"/>
      <c r="Q328" s="28"/>
      <c r="R328" s="28"/>
      <c r="S328" s="28"/>
      <c r="T328" s="28"/>
      <c r="U328" s="7"/>
      <c r="V328" s="28"/>
      <c r="W328" s="28"/>
      <c r="X328" s="2"/>
      <c r="Y328" s="2"/>
      <c r="Z328" s="2"/>
    </row>
    <row r="329" spans="1:26" ht="19.5" customHeight="1">
      <c r="A329" s="28"/>
      <c r="B329" s="28"/>
      <c r="C329" s="28"/>
      <c r="D329" s="29"/>
      <c r="E329" s="29"/>
      <c r="F329" s="28"/>
      <c r="G329" s="28"/>
      <c r="H329" s="28"/>
      <c r="I329" s="28"/>
      <c r="J329" s="28"/>
      <c r="K329" s="28"/>
      <c r="L329" s="28"/>
      <c r="M329" s="28"/>
      <c r="N329" s="28"/>
      <c r="O329" s="28"/>
      <c r="P329" s="28"/>
      <c r="Q329" s="28"/>
      <c r="R329" s="28"/>
      <c r="S329" s="28"/>
      <c r="T329" s="28"/>
      <c r="U329" s="7"/>
      <c r="V329" s="28"/>
      <c r="W329" s="28"/>
      <c r="X329" s="2"/>
      <c r="Y329" s="2"/>
      <c r="Z329" s="2"/>
    </row>
    <row r="330" spans="1:26" ht="19.5" customHeight="1">
      <c r="A330" s="28"/>
      <c r="B330" s="28"/>
      <c r="C330" s="28"/>
      <c r="D330" s="29"/>
      <c r="E330" s="29"/>
      <c r="F330" s="28"/>
      <c r="G330" s="28"/>
      <c r="H330" s="28"/>
      <c r="I330" s="28"/>
      <c r="J330" s="28"/>
      <c r="K330" s="28"/>
      <c r="L330" s="28"/>
      <c r="M330" s="28"/>
      <c r="N330" s="28"/>
      <c r="O330" s="28"/>
      <c r="P330" s="28"/>
      <c r="Q330" s="28"/>
      <c r="R330" s="28"/>
      <c r="S330" s="28"/>
      <c r="T330" s="28"/>
      <c r="U330" s="7"/>
      <c r="V330" s="28"/>
      <c r="W330" s="28"/>
      <c r="X330" s="2"/>
      <c r="Y330" s="2"/>
      <c r="Z330" s="2"/>
    </row>
    <row r="331" spans="1:26" ht="19.5" customHeight="1">
      <c r="A331" s="28"/>
      <c r="B331" s="28"/>
      <c r="C331" s="28"/>
      <c r="D331" s="29"/>
      <c r="E331" s="29"/>
      <c r="F331" s="28"/>
      <c r="G331" s="28"/>
      <c r="H331" s="28"/>
      <c r="I331" s="28"/>
      <c r="J331" s="28"/>
      <c r="K331" s="28"/>
      <c r="L331" s="28"/>
      <c r="M331" s="28"/>
      <c r="N331" s="28"/>
      <c r="O331" s="28"/>
      <c r="P331" s="28"/>
      <c r="Q331" s="28"/>
      <c r="R331" s="28"/>
      <c r="S331" s="28"/>
      <c r="T331" s="28"/>
      <c r="U331" s="7"/>
      <c r="V331" s="28"/>
      <c r="W331" s="28"/>
      <c r="X331" s="2"/>
      <c r="Y331" s="2"/>
      <c r="Z331" s="2"/>
    </row>
    <row r="332" spans="1:26" ht="19.5" customHeight="1">
      <c r="A332" s="28"/>
      <c r="B332" s="28"/>
      <c r="C332" s="28"/>
      <c r="D332" s="29"/>
      <c r="E332" s="29"/>
      <c r="F332" s="28"/>
      <c r="G332" s="28"/>
      <c r="H332" s="28"/>
      <c r="I332" s="28"/>
      <c r="J332" s="28"/>
      <c r="K332" s="28"/>
      <c r="L332" s="28"/>
      <c r="M332" s="28"/>
      <c r="N332" s="28"/>
      <c r="O332" s="28"/>
      <c r="P332" s="28"/>
      <c r="Q332" s="28"/>
      <c r="R332" s="28"/>
      <c r="S332" s="28"/>
      <c r="T332" s="28"/>
      <c r="U332" s="7"/>
      <c r="V332" s="28"/>
      <c r="W332" s="28"/>
      <c r="X332" s="2"/>
      <c r="Y332" s="2"/>
      <c r="Z332" s="2"/>
    </row>
    <row r="333" spans="1:26" ht="19.5" customHeight="1">
      <c r="A333" s="28"/>
      <c r="B333" s="28"/>
      <c r="C333" s="28"/>
      <c r="D333" s="29"/>
      <c r="E333" s="29"/>
      <c r="F333" s="28"/>
      <c r="G333" s="28"/>
      <c r="H333" s="28"/>
      <c r="I333" s="28"/>
      <c r="J333" s="28"/>
      <c r="K333" s="28"/>
      <c r="L333" s="28"/>
      <c r="M333" s="28"/>
      <c r="N333" s="28"/>
      <c r="O333" s="28"/>
      <c r="P333" s="28"/>
      <c r="Q333" s="28"/>
      <c r="R333" s="28"/>
      <c r="S333" s="28"/>
      <c r="T333" s="28"/>
      <c r="U333" s="7"/>
      <c r="V333" s="28"/>
      <c r="W333" s="28"/>
      <c r="X333" s="2"/>
      <c r="Y333" s="2"/>
      <c r="Z333" s="2"/>
    </row>
    <row r="334" spans="1:26" ht="19.5" customHeight="1">
      <c r="A334" s="28"/>
      <c r="B334" s="28"/>
      <c r="C334" s="28"/>
      <c r="D334" s="29"/>
      <c r="E334" s="29"/>
      <c r="F334" s="28"/>
      <c r="G334" s="28"/>
      <c r="H334" s="28"/>
      <c r="I334" s="28"/>
      <c r="J334" s="28"/>
      <c r="K334" s="28"/>
      <c r="L334" s="28"/>
      <c r="M334" s="28"/>
      <c r="N334" s="28"/>
      <c r="O334" s="28"/>
      <c r="P334" s="28"/>
      <c r="Q334" s="28"/>
      <c r="R334" s="28"/>
      <c r="S334" s="28"/>
      <c r="T334" s="28"/>
      <c r="U334" s="7"/>
      <c r="V334" s="28"/>
      <c r="W334" s="28"/>
      <c r="X334" s="2"/>
      <c r="Y334" s="2"/>
      <c r="Z334" s="2"/>
    </row>
    <row r="335" spans="1:26" ht="19.5" customHeight="1">
      <c r="A335" s="28"/>
      <c r="B335" s="28"/>
      <c r="C335" s="28"/>
      <c r="D335" s="29"/>
      <c r="E335" s="29"/>
      <c r="F335" s="28"/>
      <c r="G335" s="28"/>
      <c r="H335" s="28"/>
      <c r="I335" s="28"/>
      <c r="J335" s="28"/>
      <c r="K335" s="28"/>
      <c r="L335" s="28"/>
      <c r="M335" s="28"/>
      <c r="N335" s="28"/>
      <c r="O335" s="28"/>
      <c r="P335" s="28"/>
      <c r="Q335" s="28"/>
      <c r="R335" s="28"/>
      <c r="S335" s="28"/>
      <c r="T335" s="28"/>
      <c r="U335" s="7"/>
      <c r="V335" s="28"/>
      <c r="W335" s="28"/>
      <c r="X335" s="2"/>
      <c r="Y335" s="2"/>
      <c r="Z335" s="2"/>
    </row>
    <row r="336" spans="1:26" ht="19.5" customHeight="1">
      <c r="A336" s="28"/>
      <c r="B336" s="28"/>
      <c r="C336" s="28"/>
      <c r="D336" s="29"/>
      <c r="E336" s="29"/>
      <c r="F336" s="28"/>
      <c r="G336" s="28"/>
      <c r="H336" s="28"/>
      <c r="I336" s="28"/>
      <c r="J336" s="28"/>
      <c r="K336" s="28"/>
      <c r="L336" s="28"/>
      <c r="M336" s="28"/>
      <c r="N336" s="28"/>
      <c r="O336" s="28"/>
      <c r="P336" s="28"/>
      <c r="Q336" s="28"/>
      <c r="R336" s="28"/>
      <c r="S336" s="28"/>
      <c r="T336" s="28"/>
      <c r="U336" s="7"/>
      <c r="V336" s="28"/>
      <c r="W336" s="28"/>
      <c r="X336" s="2"/>
      <c r="Y336" s="2"/>
      <c r="Z336" s="2"/>
    </row>
    <row r="337" spans="1:26" ht="19.5" customHeight="1">
      <c r="A337" s="28"/>
      <c r="B337" s="28"/>
      <c r="C337" s="28"/>
      <c r="D337" s="29"/>
      <c r="E337" s="29"/>
      <c r="F337" s="28"/>
      <c r="G337" s="28"/>
      <c r="H337" s="28"/>
      <c r="I337" s="28"/>
      <c r="J337" s="28"/>
      <c r="K337" s="28"/>
      <c r="L337" s="28"/>
      <c r="M337" s="28"/>
      <c r="N337" s="28"/>
      <c r="O337" s="28"/>
      <c r="P337" s="28"/>
      <c r="Q337" s="28"/>
      <c r="R337" s="28"/>
      <c r="S337" s="28"/>
      <c r="T337" s="28"/>
      <c r="U337" s="7"/>
      <c r="V337" s="28"/>
      <c r="W337" s="28"/>
      <c r="X337" s="2"/>
      <c r="Y337" s="2"/>
      <c r="Z337" s="2"/>
    </row>
    <row r="338" spans="1:26" ht="19.5" customHeight="1">
      <c r="A338" s="28"/>
      <c r="B338" s="28"/>
      <c r="C338" s="28"/>
      <c r="D338" s="29"/>
      <c r="E338" s="29"/>
      <c r="F338" s="28"/>
      <c r="G338" s="28"/>
      <c r="H338" s="28"/>
      <c r="I338" s="28"/>
      <c r="J338" s="28"/>
      <c r="K338" s="28"/>
      <c r="L338" s="28"/>
      <c r="M338" s="28"/>
      <c r="N338" s="28"/>
      <c r="O338" s="28"/>
      <c r="P338" s="28"/>
      <c r="Q338" s="28"/>
      <c r="R338" s="28"/>
      <c r="S338" s="28"/>
      <c r="T338" s="28"/>
      <c r="U338" s="7"/>
      <c r="V338" s="28"/>
      <c r="W338" s="28"/>
      <c r="X338" s="2"/>
      <c r="Y338" s="2"/>
      <c r="Z338" s="2"/>
    </row>
    <row r="339" spans="1:26" ht="19.5" customHeight="1">
      <c r="A339" s="28"/>
      <c r="B339" s="28"/>
      <c r="C339" s="28"/>
      <c r="D339" s="29"/>
      <c r="E339" s="29"/>
      <c r="F339" s="28"/>
      <c r="G339" s="28"/>
      <c r="H339" s="28"/>
      <c r="I339" s="28"/>
      <c r="J339" s="28"/>
      <c r="K339" s="28"/>
      <c r="L339" s="28"/>
      <c r="M339" s="28"/>
      <c r="N339" s="28"/>
      <c r="O339" s="28"/>
      <c r="P339" s="28"/>
      <c r="Q339" s="28"/>
      <c r="R339" s="28"/>
      <c r="S339" s="28"/>
      <c r="T339" s="28"/>
      <c r="U339" s="7"/>
      <c r="V339" s="28"/>
      <c r="W339" s="28"/>
      <c r="X339" s="2"/>
      <c r="Y339" s="2"/>
      <c r="Z339" s="2"/>
    </row>
    <row r="340" spans="1:26" ht="19.5" customHeight="1">
      <c r="A340" s="28"/>
      <c r="B340" s="28"/>
      <c r="C340" s="28"/>
      <c r="D340" s="29"/>
      <c r="E340" s="29"/>
      <c r="F340" s="28"/>
      <c r="G340" s="28"/>
      <c r="H340" s="28"/>
      <c r="I340" s="28"/>
      <c r="J340" s="28"/>
      <c r="K340" s="28"/>
      <c r="L340" s="28"/>
      <c r="M340" s="28"/>
      <c r="N340" s="28"/>
      <c r="O340" s="28"/>
      <c r="P340" s="28"/>
      <c r="Q340" s="28"/>
      <c r="R340" s="28"/>
      <c r="S340" s="28"/>
      <c r="T340" s="28"/>
      <c r="U340" s="7"/>
      <c r="V340" s="28"/>
      <c r="W340" s="28"/>
      <c r="X340" s="2"/>
      <c r="Y340" s="2"/>
      <c r="Z340" s="2"/>
    </row>
    <row r="341" spans="1:26" ht="19.5" customHeight="1">
      <c r="A341" s="28"/>
      <c r="B341" s="28"/>
      <c r="C341" s="28"/>
      <c r="D341" s="29"/>
      <c r="E341" s="29"/>
      <c r="F341" s="28"/>
      <c r="G341" s="28"/>
      <c r="H341" s="28"/>
      <c r="I341" s="28"/>
      <c r="J341" s="28"/>
      <c r="K341" s="28"/>
      <c r="L341" s="28"/>
      <c r="M341" s="28"/>
      <c r="N341" s="28"/>
      <c r="O341" s="28"/>
      <c r="P341" s="28"/>
      <c r="Q341" s="28"/>
      <c r="R341" s="28"/>
      <c r="S341" s="28"/>
      <c r="T341" s="28"/>
      <c r="U341" s="7"/>
      <c r="V341" s="28"/>
      <c r="W341" s="28"/>
      <c r="X341" s="2"/>
      <c r="Y341" s="2"/>
      <c r="Z341" s="2"/>
    </row>
    <row r="342" spans="1:26" ht="19.5" customHeight="1">
      <c r="A342" s="28"/>
      <c r="B342" s="28"/>
      <c r="C342" s="28"/>
      <c r="D342" s="29"/>
      <c r="E342" s="29"/>
      <c r="F342" s="28"/>
      <c r="G342" s="28"/>
      <c r="H342" s="28"/>
      <c r="I342" s="28"/>
      <c r="J342" s="28"/>
      <c r="K342" s="28"/>
      <c r="L342" s="28"/>
      <c r="M342" s="28"/>
      <c r="N342" s="28"/>
      <c r="O342" s="28"/>
      <c r="P342" s="28"/>
      <c r="Q342" s="28"/>
      <c r="R342" s="28"/>
      <c r="S342" s="28"/>
      <c r="T342" s="28"/>
      <c r="U342" s="7"/>
      <c r="V342" s="28"/>
      <c r="W342" s="28"/>
      <c r="X342" s="2"/>
      <c r="Y342" s="2"/>
      <c r="Z342" s="2"/>
    </row>
    <row r="343" spans="1:26" ht="19.5" customHeight="1">
      <c r="A343" s="28"/>
      <c r="B343" s="28"/>
      <c r="C343" s="28"/>
      <c r="D343" s="29"/>
      <c r="E343" s="29"/>
      <c r="F343" s="28"/>
      <c r="G343" s="28"/>
      <c r="H343" s="28"/>
      <c r="I343" s="28"/>
      <c r="J343" s="28"/>
      <c r="K343" s="28"/>
      <c r="L343" s="28"/>
      <c r="M343" s="28"/>
      <c r="N343" s="28"/>
      <c r="O343" s="28"/>
      <c r="P343" s="28"/>
      <c r="Q343" s="28"/>
      <c r="R343" s="28"/>
      <c r="S343" s="28"/>
      <c r="T343" s="28"/>
      <c r="U343" s="7"/>
      <c r="V343" s="28"/>
      <c r="W343" s="28"/>
      <c r="X343" s="2"/>
      <c r="Y343" s="2"/>
      <c r="Z343" s="2"/>
    </row>
    <row r="344" spans="1:26" ht="19.5" customHeight="1">
      <c r="A344" s="28"/>
      <c r="B344" s="28"/>
      <c r="C344" s="28"/>
      <c r="D344" s="29"/>
      <c r="E344" s="29"/>
      <c r="F344" s="28"/>
      <c r="G344" s="28"/>
      <c r="H344" s="28"/>
      <c r="I344" s="28"/>
      <c r="J344" s="28"/>
      <c r="K344" s="28"/>
      <c r="L344" s="28"/>
      <c r="M344" s="28"/>
      <c r="N344" s="28"/>
      <c r="O344" s="28"/>
      <c r="P344" s="28"/>
      <c r="Q344" s="28"/>
      <c r="R344" s="28"/>
      <c r="S344" s="28"/>
      <c r="T344" s="28"/>
      <c r="U344" s="7"/>
      <c r="V344" s="28"/>
      <c r="W344" s="28"/>
      <c r="X344" s="2"/>
      <c r="Y344" s="2"/>
      <c r="Z344" s="2"/>
    </row>
    <row r="345" spans="1:26" ht="19.5" customHeight="1">
      <c r="A345" s="28"/>
      <c r="B345" s="28"/>
      <c r="C345" s="28"/>
      <c r="D345" s="29"/>
      <c r="E345" s="29"/>
      <c r="F345" s="28"/>
      <c r="G345" s="28"/>
      <c r="H345" s="28"/>
      <c r="I345" s="28"/>
      <c r="J345" s="28"/>
      <c r="K345" s="28"/>
      <c r="L345" s="28"/>
      <c r="M345" s="28"/>
      <c r="N345" s="28"/>
      <c r="O345" s="28"/>
      <c r="P345" s="28"/>
      <c r="Q345" s="28"/>
      <c r="R345" s="28"/>
      <c r="S345" s="28"/>
      <c r="T345" s="28"/>
      <c r="U345" s="7"/>
      <c r="V345" s="28"/>
      <c r="W345" s="28"/>
      <c r="X345" s="2"/>
      <c r="Y345" s="2"/>
      <c r="Z345" s="2"/>
    </row>
    <row r="346" spans="1:26" ht="19.5" customHeight="1">
      <c r="A346" s="28"/>
      <c r="B346" s="28"/>
      <c r="C346" s="28"/>
      <c r="D346" s="29"/>
      <c r="E346" s="29"/>
      <c r="F346" s="28"/>
      <c r="G346" s="28"/>
      <c r="H346" s="28"/>
      <c r="I346" s="28"/>
      <c r="J346" s="28"/>
      <c r="K346" s="28"/>
      <c r="L346" s="28"/>
      <c r="M346" s="28"/>
      <c r="N346" s="28"/>
      <c r="O346" s="28"/>
      <c r="P346" s="28"/>
      <c r="Q346" s="28"/>
      <c r="R346" s="28"/>
      <c r="S346" s="28"/>
      <c r="T346" s="28"/>
      <c r="U346" s="7"/>
      <c r="V346" s="28"/>
      <c r="W346" s="28"/>
      <c r="X346" s="2"/>
      <c r="Y346" s="2"/>
      <c r="Z346" s="2"/>
    </row>
    <row r="347" spans="1:26" ht="19.5" customHeight="1">
      <c r="A347" s="28"/>
      <c r="B347" s="28"/>
      <c r="C347" s="28"/>
      <c r="D347" s="29"/>
      <c r="E347" s="29"/>
      <c r="F347" s="28"/>
      <c r="G347" s="28"/>
      <c r="H347" s="28"/>
      <c r="I347" s="28"/>
      <c r="J347" s="28"/>
      <c r="K347" s="28"/>
      <c r="L347" s="28"/>
      <c r="M347" s="28"/>
      <c r="N347" s="28"/>
      <c r="O347" s="28"/>
      <c r="P347" s="28"/>
      <c r="Q347" s="28"/>
      <c r="R347" s="28"/>
      <c r="S347" s="28"/>
      <c r="T347" s="28"/>
      <c r="U347" s="7"/>
      <c r="V347" s="28"/>
      <c r="W347" s="28"/>
      <c r="X347" s="2"/>
      <c r="Y347" s="2"/>
      <c r="Z347" s="2"/>
    </row>
    <row r="348" spans="1:26" ht="19.5" customHeight="1">
      <c r="A348" s="28"/>
      <c r="B348" s="28"/>
      <c r="C348" s="28"/>
      <c r="D348" s="29"/>
      <c r="E348" s="29"/>
      <c r="F348" s="28"/>
      <c r="G348" s="28"/>
      <c r="H348" s="28"/>
      <c r="I348" s="28"/>
      <c r="J348" s="28"/>
      <c r="K348" s="28"/>
      <c r="L348" s="28"/>
      <c r="M348" s="28"/>
      <c r="N348" s="28"/>
      <c r="O348" s="28"/>
      <c r="P348" s="28"/>
      <c r="Q348" s="28"/>
      <c r="R348" s="28"/>
      <c r="S348" s="28"/>
      <c r="T348" s="28"/>
      <c r="U348" s="7"/>
      <c r="V348" s="28"/>
      <c r="W348" s="28"/>
      <c r="X348" s="2"/>
      <c r="Y348" s="2"/>
      <c r="Z348" s="2"/>
    </row>
    <row r="349" spans="1:26" ht="19.5" customHeight="1">
      <c r="A349" s="28"/>
      <c r="B349" s="28"/>
      <c r="C349" s="28"/>
      <c r="D349" s="29"/>
      <c r="E349" s="29"/>
      <c r="F349" s="28"/>
      <c r="G349" s="28"/>
      <c r="H349" s="28"/>
      <c r="I349" s="28"/>
      <c r="J349" s="28"/>
      <c r="K349" s="28"/>
      <c r="L349" s="28"/>
      <c r="M349" s="28"/>
      <c r="N349" s="28"/>
      <c r="O349" s="28"/>
      <c r="P349" s="28"/>
      <c r="Q349" s="28"/>
      <c r="R349" s="28"/>
      <c r="S349" s="28"/>
      <c r="T349" s="28"/>
      <c r="U349" s="7"/>
      <c r="V349" s="28"/>
      <c r="W349" s="28"/>
      <c r="X349" s="2"/>
      <c r="Y349" s="2"/>
      <c r="Z349" s="2"/>
    </row>
    <row r="350" spans="1:26" ht="19.5" customHeight="1">
      <c r="A350" s="28"/>
      <c r="B350" s="28"/>
      <c r="C350" s="28"/>
      <c r="D350" s="29"/>
      <c r="E350" s="29"/>
      <c r="F350" s="28"/>
      <c r="G350" s="28"/>
      <c r="H350" s="28"/>
      <c r="I350" s="28"/>
      <c r="J350" s="28"/>
      <c r="K350" s="28"/>
      <c r="L350" s="28"/>
      <c r="M350" s="28"/>
      <c r="N350" s="28"/>
      <c r="O350" s="28"/>
      <c r="P350" s="28"/>
      <c r="Q350" s="28"/>
      <c r="R350" s="28"/>
      <c r="S350" s="28"/>
      <c r="T350" s="28"/>
      <c r="U350" s="7"/>
      <c r="V350" s="28"/>
      <c r="W350" s="28"/>
      <c r="X350" s="2"/>
      <c r="Y350" s="2"/>
      <c r="Z350" s="2"/>
    </row>
    <row r="351" spans="1:26" ht="19.5" customHeight="1">
      <c r="A351" s="28"/>
      <c r="B351" s="28"/>
      <c r="C351" s="28"/>
      <c r="D351" s="29"/>
      <c r="E351" s="29"/>
      <c r="F351" s="28"/>
      <c r="G351" s="28"/>
      <c r="H351" s="28"/>
      <c r="I351" s="28"/>
      <c r="J351" s="28"/>
      <c r="K351" s="28"/>
      <c r="L351" s="28"/>
      <c r="M351" s="28"/>
      <c r="N351" s="28"/>
      <c r="O351" s="28"/>
      <c r="P351" s="28"/>
      <c r="Q351" s="28"/>
      <c r="R351" s="28"/>
      <c r="S351" s="28"/>
      <c r="T351" s="28"/>
      <c r="U351" s="7"/>
      <c r="V351" s="28"/>
      <c r="W351" s="28"/>
      <c r="X351" s="2"/>
      <c r="Y351" s="2"/>
      <c r="Z351" s="2"/>
    </row>
    <row r="352" spans="1:26" ht="19.5" customHeight="1">
      <c r="A352" s="28"/>
      <c r="B352" s="28"/>
      <c r="C352" s="28"/>
      <c r="D352" s="29"/>
      <c r="E352" s="29"/>
      <c r="F352" s="28"/>
      <c r="G352" s="28"/>
      <c r="H352" s="28"/>
      <c r="I352" s="28"/>
      <c r="J352" s="28"/>
      <c r="K352" s="28"/>
      <c r="L352" s="28"/>
      <c r="M352" s="28"/>
      <c r="N352" s="28"/>
      <c r="O352" s="28"/>
      <c r="P352" s="28"/>
      <c r="Q352" s="28"/>
      <c r="R352" s="28"/>
      <c r="S352" s="28"/>
      <c r="T352" s="28"/>
      <c r="U352" s="7"/>
      <c r="V352" s="28"/>
      <c r="W352" s="28"/>
      <c r="X352" s="2"/>
      <c r="Y352" s="2"/>
      <c r="Z352" s="2"/>
    </row>
    <row r="353" spans="1:26" ht="19.5" customHeight="1">
      <c r="A353" s="28"/>
      <c r="B353" s="28"/>
      <c r="C353" s="28"/>
      <c r="D353" s="29"/>
      <c r="E353" s="29"/>
      <c r="F353" s="28"/>
      <c r="G353" s="28"/>
      <c r="H353" s="28"/>
      <c r="I353" s="28"/>
      <c r="J353" s="28"/>
      <c r="K353" s="28"/>
      <c r="L353" s="28"/>
      <c r="M353" s="28"/>
      <c r="N353" s="28"/>
      <c r="O353" s="28"/>
      <c r="P353" s="28"/>
      <c r="Q353" s="28"/>
      <c r="R353" s="28"/>
      <c r="S353" s="28"/>
      <c r="T353" s="28"/>
      <c r="U353" s="7"/>
      <c r="V353" s="28"/>
      <c r="W353" s="28"/>
      <c r="X353" s="2"/>
      <c r="Y353" s="2"/>
      <c r="Z353" s="2"/>
    </row>
    <row r="354" spans="1:26" ht="19.5" customHeight="1">
      <c r="A354" s="28"/>
      <c r="B354" s="28"/>
      <c r="C354" s="28"/>
      <c r="D354" s="29"/>
      <c r="E354" s="29"/>
      <c r="F354" s="28"/>
      <c r="G354" s="28"/>
      <c r="H354" s="28"/>
      <c r="I354" s="28"/>
      <c r="J354" s="28"/>
      <c r="K354" s="28"/>
      <c r="L354" s="28"/>
      <c r="M354" s="28"/>
      <c r="N354" s="28"/>
      <c r="O354" s="28"/>
      <c r="P354" s="28"/>
      <c r="Q354" s="28"/>
      <c r="R354" s="28"/>
      <c r="S354" s="28"/>
      <c r="T354" s="28"/>
      <c r="U354" s="7"/>
      <c r="V354" s="28"/>
      <c r="W354" s="28"/>
      <c r="X354" s="2"/>
      <c r="Y354" s="2"/>
      <c r="Z354" s="2"/>
    </row>
    <row r="355" spans="1:26" ht="19.5" customHeight="1">
      <c r="A355" s="28"/>
      <c r="B355" s="28"/>
      <c r="C355" s="28"/>
      <c r="D355" s="29"/>
      <c r="E355" s="29"/>
      <c r="F355" s="28"/>
      <c r="G355" s="28"/>
      <c r="H355" s="28"/>
      <c r="I355" s="28"/>
      <c r="J355" s="28"/>
      <c r="K355" s="28"/>
      <c r="L355" s="28"/>
      <c r="M355" s="28"/>
      <c r="N355" s="28"/>
      <c r="O355" s="28"/>
      <c r="P355" s="28"/>
      <c r="Q355" s="28"/>
      <c r="R355" s="28"/>
      <c r="S355" s="28"/>
      <c r="T355" s="28"/>
      <c r="U355" s="7"/>
      <c r="V355" s="28"/>
      <c r="W355" s="28"/>
      <c r="X355" s="2"/>
      <c r="Y355" s="2"/>
      <c r="Z355" s="2"/>
    </row>
    <row r="356" spans="1:26" ht="19.5" customHeight="1">
      <c r="A356" s="28"/>
      <c r="B356" s="28"/>
      <c r="C356" s="28"/>
      <c r="D356" s="29"/>
      <c r="E356" s="29"/>
      <c r="F356" s="28"/>
      <c r="G356" s="28"/>
      <c r="H356" s="28"/>
      <c r="I356" s="28"/>
      <c r="J356" s="28"/>
      <c r="K356" s="28"/>
      <c r="L356" s="28"/>
      <c r="M356" s="28"/>
      <c r="N356" s="28"/>
      <c r="O356" s="28"/>
      <c r="P356" s="28"/>
      <c r="Q356" s="28"/>
      <c r="R356" s="28"/>
      <c r="S356" s="28"/>
      <c r="T356" s="28"/>
      <c r="U356" s="7"/>
      <c r="V356" s="28"/>
      <c r="W356" s="28"/>
      <c r="X356" s="2"/>
      <c r="Y356" s="2"/>
      <c r="Z356" s="2"/>
    </row>
    <row r="357" spans="1:26" ht="19.5" customHeight="1">
      <c r="A357" s="28"/>
      <c r="B357" s="28"/>
      <c r="C357" s="28"/>
      <c r="D357" s="29"/>
      <c r="E357" s="29"/>
      <c r="F357" s="28"/>
      <c r="G357" s="28"/>
      <c r="H357" s="28"/>
      <c r="I357" s="28"/>
      <c r="J357" s="28"/>
      <c r="K357" s="28"/>
      <c r="L357" s="28"/>
      <c r="M357" s="28"/>
      <c r="N357" s="28"/>
      <c r="O357" s="28"/>
      <c r="P357" s="28"/>
      <c r="Q357" s="28"/>
      <c r="R357" s="28"/>
      <c r="S357" s="28"/>
      <c r="T357" s="28"/>
      <c r="U357" s="7"/>
      <c r="V357" s="28"/>
      <c r="W357" s="28"/>
      <c r="X357" s="2"/>
      <c r="Y357" s="2"/>
      <c r="Z357" s="2"/>
    </row>
    <row r="358" spans="1:26" ht="19.5" customHeight="1">
      <c r="A358" s="28"/>
      <c r="B358" s="28"/>
      <c r="C358" s="28"/>
      <c r="D358" s="29"/>
      <c r="E358" s="29"/>
      <c r="F358" s="28"/>
      <c r="G358" s="28"/>
      <c r="H358" s="28"/>
      <c r="I358" s="28"/>
      <c r="J358" s="28"/>
      <c r="K358" s="28"/>
      <c r="L358" s="28"/>
      <c r="M358" s="28"/>
      <c r="N358" s="28"/>
      <c r="O358" s="28"/>
      <c r="P358" s="28"/>
      <c r="Q358" s="28"/>
      <c r="R358" s="28"/>
      <c r="S358" s="28"/>
      <c r="T358" s="28"/>
      <c r="U358" s="7"/>
      <c r="V358" s="28"/>
      <c r="W358" s="28"/>
      <c r="X358" s="2"/>
      <c r="Y358" s="2"/>
      <c r="Z358" s="2"/>
    </row>
    <row r="359" spans="1:26" ht="19.5" customHeight="1">
      <c r="A359" s="28"/>
      <c r="B359" s="28"/>
      <c r="C359" s="28"/>
      <c r="D359" s="29"/>
      <c r="E359" s="29"/>
      <c r="F359" s="28"/>
      <c r="G359" s="28"/>
      <c r="H359" s="28"/>
      <c r="I359" s="28"/>
      <c r="J359" s="28"/>
      <c r="K359" s="28"/>
      <c r="L359" s="28"/>
      <c r="M359" s="28"/>
      <c r="N359" s="28"/>
      <c r="O359" s="28"/>
      <c r="P359" s="28"/>
      <c r="Q359" s="28"/>
      <c r="R359" s="28"/>
      <c r="S359" s="28"/>
      <c r="T359" s="28"/>
      <c r="U359" s="7"/>
      <c r="V359" s="28"/>
      <c r="W359" s="28"/>
      <c r="X359" s="2"/>
      <c r="Y359" s="2"/>
      <c r="Z359" s="2"/>
    </row>
    <row r="360" spans="1:26" ht="19.5" customHeight="1">
      <c r="A360" s="28"/>
      <c r="B360" s="28"/>
      <c r="C360" s="28"/>
      <c r="D360" s="29"/>
      <c r="E360" s="29"/>
      <c r="F360" s="28"/>
      <c r="G360" s="28"/>
      <c r="H360" s="28"/>
      <c r="I360" s="28"/>
      <c r="J360" s="28"/>
      <c r="K360" s="28"/>
      <c r="L360" s="28"/>
      <c r="M360" s="28"/>
      <c r="N360" s="28"/>
      <c r="O360" s="28"/>
      <c r="P360" s="28"/>
      <c r="Q360" s="28"/>
      <c r="R360" s="28"/>
      <c r="S360" s="28"/>
      <c r="T360" s="28"/>
      <c r="U360" s="7"/>
      <c r="V360" s="28"/>
      <c r="W360" s="28"/>
      <c r="X360" s="2"/>
      <c r="Y360" s="2"/>
      <c r="Z360" s="2"/>
    </row>
    <row r="361" spans="1:26" ht="19.5" customHeight="1">
      <c r="A361" s="28"/>
      <c r="B361" s="28"/>
      <c r="C361" s="28"/>
      <c r="D361" s="29"/>
      <c r="E361" s="29"/>
      <c r="F361" s="28"/>
      <c r="G361" s="28"/>
      <c r="H361" s="28"/>
      <c r="I361" s="28"/>
      <c r="J361" s="28"/>
      <c r="K361" s="28"/>
      <c r="L361" s="28"/>
      <c r="M361" s="28"/>
      <c r="N361" s="28"/>
      <c r="O361" s="28"/>
      <c r="P361" s="28"/>
      <c r="Q361" s="28"/>
      <c r="R361" s="28"/>
      <c r="S361" s="28"/>
      <c r="T361" s="28"/>
      <c r="U361" s="7"/>
      <c r="V361" s="28"/>
      <c r="W361" s="28"/>
      <c r="X361" s="2"/>
      <c r="Y361" s="2"/>
      <c r="Z361" s="2"/>
    </row>
    <row r="362" spans="1:26" ht="19.5" customHeight="1">
      <c r="A362" s="28"/>
      <c r="B362" s="28"/>
      <c r="C362" s="28"/>
      <c r="D362" s="29"/>
      <c r="E362" s="29"/>
      <c r="F362" s="28"/>
      <c r="G362" s="28"/>
      <c r="H362" s="28"/>
      <c r="I362" s="28"/>
      <c r="J362" s="28"/>
      <c r="K362" s="28"/>
      <c r="L362" s="28"/>
      <c r="M362" s="28"/>
      <c r="N362" s="28"/>
      <c r="O362" s="28"/>
      <c r="P362" s="28"/>
      <c r="Q362" s="28"/>
      <c r="R362" s="28"/>
      <c r="S362" s="28"/>
      <c r="T362" s="28"/>
      <c r="U362" s="7"/>
      <c r="V362" s="28"/>
      <c r="W362" s="28"/>
      <c r="X362" s="2"/>
      <c r="Y362" s="2"/>
      <c r="Z362" s="2"/>
    </row>
    <row r="363" spans="1:26" ht="19.5" customHeight="1">
      <c r="A363" s="28"/>
      <c r="B363" s="28"/>
      <c r="C363" s="28"/>
      <c r="D363" s="29"/>
      <c r="E363" s="29"/>
      <c r="F363" s="28"/>
      <c r="G363" s="28"/>
      <c r="H363" s="28"/>
      <c r="I363" s="28"/>
      <c r="J363" s="28"/>
      <c r="K363" s="28"/>
      <c r="L363" s="28"/>
      <c r="M363" s="28"/>
      <c r="N363" s="28"/>
      <c r="O363" s="28"/>
      <c r="P363" s="28"/>
      <c r="Q363" s="28"/>
      <c r="R363" s="28"/>
      <c r="S363" s="28"/>
      <c r="T363" s="28"/>
      <c r="U363" s="7"/>
      <c r="V363" s="28"/>
      <c r="W363" s="28"/>
      <c r="X363" s="2"/>
      <c r="Y363" s="2"/>
      <c r="Z363" s="2"/>
    </row>
    <row r="364" spans="1:26" ht="19.5" customHeight="1">
      <c r="A364" s="28"/>
      <c r="B364" s="28"/>
      <c r="C364" s="28"/>
      <c r="D364" s="29"/>
      <c r="E364" s="29"/>
      <c r="F364" s="28"/>
      <c r="G364" s="28"/>
      <c r="H364" s="28"/>
      <c r="I364" s="28"/>
      <c r="J364" s="28"/>
      <c r="K364" s="28"/>
      <c r="L364" s="28"/>
      <c r="M364" s="28"/>
      <c r="N364" s="28"/>
      <c r="O364" s="28"/>
      <c r="P364" s="28"/>
      <c r="Q364" s="28"/>
      <c r="R364" s="28"/>
      <c r="S364" s="28"/>
      <c r="T364" s="28"/>
      <c r="U364" s="7"/>
      <c r="V364" s="28"/>
      <c r="W364" s="28"/>
      <c r="X364" s="2"/>
      <c r="Y364" s="2"/>
      <c r="Z364" s="2"/>
    </row>
    <row r="365" spans="1:26" ht="19.5" customHeight="1">
      <c r="A365" s="28"/>
      <c r="B365" s="28"/>
      <c r="C365" s="28"/>
      <c r="D365" s="29"/>
      <c r="E365" s="29"/>
      <c r="F365" s="28"/>
      <c r="G365" s="28"/>
      <c r="H365" s="28"/>
      <c r="I365" s="28"/>
      <c r="J365" s="28"/>
      <c r="K365" s="28"/>
      <c r="L365" s="28"/>
      <c r="M365" s="28"/>
      <c r="N365" s="28"/>
      <c r="O365" s="28"/>
      <c r="P365" s="28"/>
      <c r="Q365" s="28"/>
      <c r="R365" s="28"/>
      <c r="S365" s="28"/>
      <c r="T365" s="28"/>
      <c r="U365" s="7"/>
      <c r="V365" s="28"/>
      <c r="W365" s="28"/>
      <c r="X365" s="2"/>
      <c r="Y365" s="2"/>
      <c r="Z365" s="2"/>
    </row>
    <row r="366" spans="1:26" ht="19.5" customHeight="1">
      <c r="A366" s="28"/>
      <c r="B366" s="28"/>
      <c r="C366" s="28"/>
      <c r="D366" s="29"/>
      <c r="E366" s="29"/>
      <c r="F366" s="28"/>
      <c r="G366" s="28"/>
      <c r="H366" s="28"/>
      <c r="I366" s="28"/>
      <c r="J366" s="28"/>
      <c r="K366" s="28"/>
      <c r="L366" s="28"/>
      <c r="M366" s="28"/>
      <c r="N366" s="28"/>
      <c r="O366" s="28"/>
      <c r="P366" s="28"/>
      <c r="Q366" s="28"/>
      <c r="R366" s="28"/>
      <c r="S366" s="28"/>
      <c r="T366" s="28"/>
      <c r="U366" s="7"/>
      <c r="V366" s="28"/>
      <c r="W366" s="28"/>
      <c r="X366" s="2"/>
      <c r="Y366" s="2"/>
      <c r="Z366" s="2"/>
    </row>
    <row r="367" spans="1:26" ht="19.5" customHeight="1">
      <c r="A367" s="28"/>
      <c r="B367" s="28"/>
      <c r="C367" s="28"/>
      <c r="D367" s="29"/>
      <c r="E367" s="29"/>
      <c r="F367" s="28"/>
      <c r="G367" s="28"/>
      <c r="H367" s="28"/>
      <c r="I367" s="28"/>
      <c r="J367" s="28"/>
      <c r="K367" s="28"/>
      <c r="L367" s="28"/>
      <c r="M367" s="28"/>
      <c r="N367" s="28"/>
      <c r="O367" s="28"/>
      <c r="P367" s="28"/>
      <c r="Q367" s="28"/>
      <c r="R367" s="28"/>
      <c r="S367" s="28"/>
      <c r="T367" s="28"/>
      <c r="U367" s="7"/>
      <c r="V367" s="28"/>
      <c r="W367" s="28"/>
      <c r="X367" s="2"/>
      <c r="Y367" s="2"/>
      <c r="Z367" s="2"/>
    </row>
    <row r="368" spans="1:26" ht="19.5" customHeight="1">
      <c r="A368" s="28"/>
      <c r="B368" s="28"/>
      <c r="C368" s="28"/>
      <c r="D368" s="29"/>
      <c r="E368" s="29"/>
      <c r="F368" s="28"/>
      <c r="G368" s="28"/>
      <c r="H368" s="28"/>
      <c r="I368" s="28"/>
      <c r="J368" s="28"/>
      <c r="K368" s="28"/>
      <c r="L368" s="28"/>
      <c r="M368" s="28"/>
      <c r="N368" s="28"/>
      <c r="O368" s="28"/>
      <c r="P368" s="28"/>
      <c r="Q368" s="28"/>
      <c r="R368" s="28"/>
      <c r="S368" s="28"/>
      <c r="T368" s="28"/>
      <c r="U368" s="7"/>
      <c r="V368" s="28"/>
      <c r="W368" s="28"/>
      <c r="X368" s="2"/>
      <c r="Y368" s="2"/>
      <c r="Z368" s="2"/>
    </row>
    <row r="369" spans="1:26" ht="19.5" customHeight="1">
      <c r="A369" s="28"/>
      <c r="B369" s="28"/>
      <c r="C369" s="28"/>
      <c r="D369" s="29"/>
      <c r="E369" s="29"/>
      <c r="F369" s="28"/>
      <c r="G369" s="28"/>
      <c r="H369" s="28"/>
      <c r="I369" s="28"/>
      <c r="J369" s="28"/>
      <c r="K369" s="28"/>
      <c r="L369" s="28"/>
      <c r="M369" s="28"/>
      <c r="N369" s="28"/>
      <c r="O369" s="28"/>
      <c r="P369" s="28"/>
      <c r="Q369" s="28"/>
      <c r="R369" s="28"/>
      <c r="S369" s="28"/>
      <c r="T369" s="28"/>
      <c r="U369" s="7"/>
      <c r="V369" s="28"/>
      <c r="W369" s="28"/>
      <c r="X369" s="2"/>
      <c r="Y369" s="2"/>
      <c r="Z369" s="2"/>
    </row>
    <row r="370" spans="1:26" ht="19.5" customHeight="1">
      <c r="A370" s="28"/>
      <c r="B370" s="28"/>
      <c r="C370" s="28"/>
      <c r="D370" s="29"/>
      <c r="E370" s="29"/>
      <c r="F370" s="28"/>
      <c r="G370" s="28"/>
      <c r="H370" s="28"/>
      <c r="I370" s="28"/>
      <c r="J370" s="28"/>
      <c r="K370" s="28"/>
      <c r="L370" s="28"/>
      <c r="M370" s="28"/>
      <c r="N370" s="28"/>
      <c r="O370" s="28"/>
      <c r="P370" s="28"/>
      <c r="Q370" s="28"/>
      <c r="R370" s="28"/>
      <c r="S370" s="28"/>
      <c r="T370" s="28"/>
      <c r="U370" s="7"/>
      <c r="V370" s="28"/>
      <c r="W370" s="28"/>
      <c r="X370" s="2"/>
      <c r="Y370" s="2"/>
      <c r="Z370" s="2"/>
    </row>
    <row r="371" spans="1:26" ht="19.5" customHeight="1">
      <c r="A371" s="28"/>
      <c r="B371" s="28"/>
      <c r="C371" s="28"/>
      <c r="D371" s="29"/>
      <c r="E371" s="29"/>
      <c r="F371" s="28"/>
      <c r="G371" s="28"/>
      <c r="H371" s="28"/>
      <c r="I371" s="28"/>
      <c r="J371" s="28"/>
      <c r="K371" s="28"/>
      <c r="L371" s="28"/>
      <c r="M371" s="28"/>
      <c r="N371" s="28"/>
      <c r="O371" s="28"/>
      <c r="P371" s="28"/>
      <c r="Q371" s="28"/>
      <c r="R371" s="28"/>
      <c r="S371" s="28"/>
      <c r="T371" s="28"/>
      <c r="U371" s="7"/>
      <c r="V371" s="28"/>
      <c r="W371" s="28"/>
      <c r="X371" s="2"/>
      <c r="Y371" s="2"/>
      <c r="Z371" s="2"/>
    </row>
    <row r="372" spans="1:26" ht="19.5" customHeight="1">
      <c r="A372" s="28"/>
      <c r="B372" s="28"/>
      <c r="C372" s="28"/>
      <c r="D372" s="29"/>
      <c r="E372" s="29"/>
      <c r="F372" s="28"/>
      <c r="G372" s="28"/>
      <c r="H372" s="28"/>
      <c r="I372" s="28"/>
      <c r="J372" s="28"/>
      <c r="K372" s="28"/>
      <c r="L372" s="28"/>
      <c r="M372" s="28"/>
      <c r="N372" s="28"/>
      <c r="O372" s="28"/>
      <c r="P372" s="28"/>
      <c r="Q372" s="28"/>
      <c r="R372" s="28"/>
      <c r="S372" s="28"/>
      <c r="T372" s="28"/>
      <c r="U372" s="7"/>
      <c r="V372" s="28"/>
      <c r="W372" s="28"/>
      <c r="X372" s="2"/>
      <c r="Y372" s="2"/>
      <c r="Z372" s="2"/>
    </row>
    <row r="373" spans="1:26" ht="19.5" customHeight="1">
      <c r="A373" s="28"/>
      <c r="B373" s="28"/>
      <c r="C373" s="28"/>
      <c r="D373" s="29"/>
      <c r="E373" s="29"/>
      <c r="F373" s="28"/>
      <c r="G373" s="28"/>
      <c r="H373" s="28"/>
      <c r="I373" s="28"/>
      <c r="J373" s="28"/>
      <c r="K373" s="28"/>
      <c r="L373" s="28"/>
      <c r="M373" s="28"/>
      <c r="N373" s="28"/>
      <c r="O373" s="28"/>
      <c r="P373" s="28"/>
      <c r="Q373" s="28"/>
      <c r="R373" s="28"/>
      <c r="S373" s="28"/>
      <c r="T373" s="28"/>
      <c r="U373" s="7"/>
      <c r="V373" s="28"/>
      <c r="W373" s="28"/>
      <c r="X373" s="2"/>
      <c r="Y373" s="2"/>
      <c r="Z373" s="2"/>
    </row>
    <row r="374" spans="1:26" ht="19.5" customHeight="1">
      <c r="A374" s="28"/>
      <c r="B374" s="28"/>
      <c r="C374" s="28"/>
      <c r="D374" s="29"/>
      <c r="E374" s="29"/>
      <c r="F374" s="28"/>
      <c r="G374" s="28"/>
      <c r="H374" s="28"/>
      <c r="I374" s="28"/>
      <c r="J374" s="28"/>
      <c r="K374" s="28"/>
      <c r="L374" s="28"/>
      <c r="M374" s="28"/>
      <c r="N374" s="28"/>
      <c r="O374" s="28"/>
      <c r="P374" s="28"/>
      <c r="Q374" s="28"/>
      <c r="R374" s="28"/>
      <c r="S374" s="28"/>
      <c r="T374" s="28"/>
      <c r="U374" s="7"/>
      <c r="V374" s="28"/>
      <c r="W374" s="28"/>
      <c r="X374" s="2"/>
      <c r="Y374" s="2"/>
      <c r="Z374" s="2"/>
    </row>
    <row r="375" spans="1:26" ht="19.5" customHeight="1">
      <c r="A375" s="28"/>
      <c r="B375" s="28"/>
      <c r="C375" s="28"/>
      <c r="D375" s="29"/>
      <c r="E375" s="29"/>
      <c r="F375" s="28"/>
      <c r="G375" s="28"/>
      <c r="H375" s="28"/>
      <c r="I375" s="28"/>
      <c r="J375" s="28"/>
      <c r="K375" s="28"/>
      <c r="L375" s="28"/>
      <c r="M375" s="28"/>
      <c r="N375" s="28"/>
      <c r="O375" s="28"/>
      <c r="P375" s="28"/>
      <c r="Q375" s="28"/>
      <c r="R375" s="28"/>
      <c r="S375" s="28"/>
      <c r="T375" s="28"/>
      <c r="U375" s="7"/>
      <c r="V375" s="28"/>
      <c r="W375" s="28"/>
      <c r="X375" s="2"/>
      <c r="Y375" s="2"/>
      <c r="Z375" s="2"/>
    </row>
    <row r="376" spans="1:26" ht="19.5" customHeight="1">
      <c r="A376" s="28"/>
      <c r="B376" s="28"/>
      <c r="C376" s="28"/>
      <c r="D376" s="29"/>
      <c r="E376" s="29"/>
      <c r="F376" s="28"/>
      <c r="G376" s="28"/>
      <c r="H376" s="28"/>
      <c r="I376" s="28"/>
      <c r="J376" s="28"/>
      <c r="K376" s="28"/>
      <c r="L376" s="28"/>
      <c r="M376" s="28"/>
      <c r="N376" s="28"/>
      <c r="O376" s="28"/>
      <c r="P376" s="28"/>
      <c r="Q376" s="28"/>
      <c r="R376" s="28"/>
      <c r="S376" s="28"/>
      <c r="T376" s="28"/>
      <c r="U376" s="7"/>
      <c r="V376" s="28"/>
      <c r="W376" s="28"/>
      <c r="X376" s="2"/>
      <c r="Y376" s="2"/>
      <c r="Z376" s="2"/>
    </row>
    <row r="377" spans="1:26" ht="19.5" customHeight="1">
      <c r="A377" s="28"/>
      <c r="B377" s="28"/>
      <c r="C377" s="28"/>
      <c r="D377" s="29"/>
      <c r="E377" s="29"/>
      <c r="F377" s="28"/>
      <c r="G377" s="28"/>
      <c r="H377" s="28"/>
      <c r="I377" s="28"/>
      <c r="J377" s="28"/>
      <c r="K377" s="28"/>
      <c r="L377" s="28"/>
      <c r="M377" s="28"/>
      <c r="N377" s="28"/>
      <c r="O377" s="28"/>
      <c r="P377" s="28"/>
      <c r="Q377" s="28"/>
      <c r="R377" s="28"/>
      <c r="S377" s="28"/>
      <c r="T377" s="28"/>
      <c r="U377" s="7"/>
      <c r="V377" s="28"/>
      <c r="W377" s="28"/>
      <c r="X377" s="2"/>
      <c r="Y377" s="2"/>
      <c r="Z377" s="2"/>
    </row>
    <row r="378" spans="1:26" ht="19.5" customHeight="1">
      <c r="A378" s="28"/>
      <c r="B378" s="28"/>
      <c r="C378" s="28"/>
      <c r="D378" s="29"/>
      <c r="E378" s="29"/>
      <c r="F378" s="28"/>
      <c r="G378" s="28"/>
      <c r="H378" s="28"/>
      <c r="I378" s="28"/>
      <c r="J378" s="28"/>
      <c r="K378" s="28"/>
      <c r="L378" s="28"/>
      <c r="M378" s="28"/>
      <c r="N378" s="28"/>
      <c r="O378" s="28"/>
      <c r="P378" s="28"/>
      <c r="Q378" s="28"/>
      <c r="R378" s="28"/>
      <c r="S378" s="28"/>
      <c r="T378" s="28"/>
      <c r="U378" s="7"/>
      <c r="V378" s="28"/>
      <c r="W378" s="28"/>
      <c r="X378" s="2"/>
      <c r="Y378" s="2"/>
      <c r="Z378" s="2"/>
    </row>
    <row r="379" spans="1:26" ht="19.5" customHeight="1">
      <c r="A379" s="28"/>
      <c r="B379" s="28"/>
      <c r="C379" s="28"/>
      <c r="D379" s="29"/>
      <c r="E379" s="29"/>
      <c r="F379" s="28"/>
      <c r="G379" s="28"/>
      <c r="H379" s="28"/>
      <c r="I379" s="28"/>
      <c r="J379" s="28"/>
      <c r="K379" s="28"/>
      <c r="L379" s="28"/>
      <c r="M379" s="28"/>
      <c r="N379" s="28"/>
      <c r="O379" s="28"/>
      <c r="P379" s="28"/>
      <c r="Q379" s="28"/>
      <c r="R379" s="28"/>
      <c r="S379" s="28"/>
      <c r="T379" s="28"/>
      <c r="U379" s="7"/>
      <c r="V379" s="28"/>
      <c r="W379" s="28"/>
      <c r="X379" s="2"/>
      <c r="Y379" s="2"/>
      <c r="Z379" s="2"/>
    </row>
    <row r="380" spans="1:26" ht="19.5" customHeight="1">
      <c r="A380" s="28"/>
      <c r="B380" s="28"/>
      <c r="C380" s="28"/>
      <c r="D380" s="29"/>
      <c r="E380" s="29"/>
      <c r="F380" s="28"/>
      <c r="G380" s="28"/>
      <c r="H380" s="28"/>
      <c r="I380" s="28"/>
      <c r="J380" s="28"/>
      <c r="K380" s="28"/>
      <c r="L380" s="28"/>
      <c r="M380" s="28"/>
      <c r="N380" s="28"/>
      <c r="O380" s="28"/>
      <c r="P380" s="28"/>
      <c r="Q380" s="28"/>
      <c r="R380" s="28"/>
      <c r="S380" s="28"/>
      <c r="T380" s="28"/>
      <c r="U380" s="7"/>
      <c r="V380" s="28"/>
      <c r="W380" s="28"/>
      <c r="X380" s="2"/>
      <c r="Y380" s="2"/>
      <c r="Z380" s="2"/>
    </row>
    <row r="381" spans="1:26" ht="19.5" customHeight="1">
      <c r="A381" s="28"/>
      <c r="B381" s="28"/>
      <c r="C381" s="28"/>
      <c r="D381" s="29"/>
      <c r="E381" s="29"/>
      <c r="F381" s="28"/>
      <c r="G381" s="28"/>
      <c r="H381" s="28"/>
      <c r="I381" s="28"/>
      <c r="J381" s="28"/>
      <c r="K381" s="28"/>
      <c r="L381" s="28"/>
      <c r="M381" s="28"/>
      <c r="N381" s="28"/>
      <c r="O381" s="28"/>
      <c r="P381" s="28"/>
      <c r="Q381" s="28"/>
      <c r="R381" s="28"/>
      <c r="S381" s="28"/>
      <c r="T381" s="28"/>
      <c r="U381" s="7"/>
      <c r="V381" s="28"/>
      <c r="W381" s="28"/>
      <c r="X381" s="2"/>
      <c r="Y381" s="2"/>
      <c r="Z381" s="2"/>
    </row>
    <row r="382" spans="1:26" ht="19.5" customHeight="1">
      <c r="A382" s="28"/>
      <c r="B382" s="28"/>
      <c r="C382" s="28"/>
      <c r="D382" s="29"/>
      <c r="E382" s="29"/>
      <c r="F382" s="28"/>
      <c r="G382" s="28"/>
      <c r="H382" s="28"/>
      <c r="I382" s="28"/>
      <c r="J382" s="28"/>
      <c r="K382" s="28"/>
      <c r="L382" s="28"/>
      <c r="M382" s="28"/>
      <c r="N382" s="28"/>
      <c r="O382" s="28"/>
      <c r="P382" s="28"/>
      <c r="Q382" s="28"/>
      <c r="R382" s="28"/>
      <c r="S382" s="28"/>
      <c r="T382" s="28"/>
      <c r="U382" s="7"/>
      <c r="V382" s="28"/>
      <c r="W382" s="28"/>
      <c r="X382" s="2"/>
      <c r="Y382" s="2"/>
      <c r="Z382" s="2"/>
    </row>
    <row r="383" spans="1:26" ht="19.5" customHeight="1">
      <c r="A383" s="28"/>
      <c r="B383" s="28"/>
      <c r="C383" s="28"/>
      <c r="D383" s="29"/>
      <c r="E383" s="29"/>
      <c r="F383" s="28"/>
      <c r="G383" s="28"/>
      <c r="H383" s="28"/>
      <c r="I383" s="28"/>
      <c r="J383" s="28"/>
      <c r="K383" s="28"/>
      <c r="L383" s="28"/>
      <c r="M383" s="28"/>
      <c r="N383" s="28"/>
      <c r="O383" s="28"/>
      <c r="P383" s="28"/>
      <c r="Q383" s="28"/>
      <c r="R383" s="28"/>
      <c r="S383" s="28"/>
      <c r="T383" s="28"/>
      <c r="U383" s="7"/>
      <c r="V383" s="28"/>
      <c r="W383" s="28"/>
      <c r="X383" s="2"/>
      <c r="Y383" s="2"/>
      <c r="Z383" s="2"/>
    </row>
    <row r="384" spans="1:26" ht="19.5" customHeight="1">
      <c r="A384" s="28"/>
      <c r="B384" s="28"/>
      <c r="C384" s="28"/>
      <c r="D384" s="29"/>
      <c r="E384" s="29"/>
      <c r="F384" s="28"/>
      <c r="G384" s="28"/>
      <c r="H384" s="28"/>
      <c r="I384" s="28"/>
      <c r="J384" s="28"/>
      <c r="K384" s="28"/>
      <c r="L384" s="28"/>
      <c r="M384" s="28"/>
      <c r="N384" s="28"/>
      <c r="O384" s="28"/>
      <c r="P384" s="28"/>
      <c r="Q384" s="28"/>
      <c r="R384" s="28"/>
      <c r="S384" s="28"/>
      <c r="T384" s="28"/>
      <c r="U384" s="7"/>
      <c r="V384" s="28"/>
      <c r="W384" s="28"/>
      <c r="X384" s="2"/>
      <c r="Y384" s="2"/>
      <c r="Z384" s="2"/>
    </row>
    <row r="385" spans="1:26" ht="19.5" customHeight="1">
      <c r="A385" s="28"/>
      <c r="B385" s="28"/>
      <c r="C385" s="28"/>
      <c r="D385" s="29"/>
      <c r="E385" s="29"/>
      <c r="F385" s="28"/>
      <c r="G385" s="28"/>
      <c r="H385" s="28"/>
      <c r="I385" s="28"/>
      <c r="J385" s="28"/>
      <c r="K385" s="28"/>
      <c r="L385" s="28"/>
      <c r="M385" s="28"/>
      <c r="N385" s="28"/>
      <c r="O385" s="28"/>
      <c r="P385" s="28"/>
      <c r="Q385" s="28"/>
      <c r="R385" s="28"/>
      <c r="S385" s="28"/>
      <c r="T385" s="28"/>
      <c r="U385" s="7"/>
      <c r="V385" s="28"/>
      <c r="W385" s="28"/>
      <c r="X385" s="2"/>
      <c r="Y385" s="2"/>
      <c r="Z385" s="2"/>
    </row>
    <row r="386" spans="1:26" ht="19.5" customHeight="1">
      <c r="A386" s="28"/>
      <c r="B386" s="28"/>
      <c r="C386" s="28"/>
      <c r="D386" s="29"/>
      <c r="E386" s="29"/>
      <c r="F386" s="28"/>
      <c r="G386" s="28"/>
      <c r="H386" s="28"/>
      <c r="I386" s="28"/>
      <c r="J386" s="28"/>
      <c r="K386" s="28"/>
      <c r="L386" s="28"/>
      <c r="M386" s="28"/>
      <c r="N386" s="28"/>
      <c r="O386" s="28"/>
      <c r="P386" s="28"/>
      <c r="Q386" s="28"/>
      <c r="R386" s="28"/>
      <c r="S386" s="28"/>
      <c r="T386" s="28"/>
      <c r="U386" s="7"/>
      <c r="V386" s="28"/>
      <c r="W386" s="28"/>
      <c r="X386" s="2"/>
      <c r="Y386" s="2"/>
      <c r="Z386" s="2"/>
    </row>
    <row r="387" spans="1:26" ht="19.5" customHeight="1">
      <c r="A387" s="28"/>
      <c r="B387" s="28"/>
      <c r="C387" s="28"/>
      <c r="D387" s="29"/>
      <c r="E387" s="29"/>
      <c r="F387" s="28"/>
      <c r="G387" s="28"/>
      <c r="H387" s="28"/>
      <c r="I387" s="28"/>
      <c r="J387" s="28"/>
      <c r="K387" s="28"/>
      <c r="L387" s="28"/>
      <c r="M387" s="28"/>
      <c r="N387" s="28"/>
      <c r="O387" s="28"/>
      <c r="P387" s="28"/>
      <c r="Q387" s="28"/>
      <c r="R387" s="28"/>
      <c r="S387" s="28"/>
      <c r="T387" s="28"/>
      <c r="U387" s="7"/>
      <c r="V387" s="28"/>
      <c r="W387" s="28"/>
      <c r="X387" s="2"/>
      <c r="Y387" s="2"/>
      <c r="Z387" s="2"/>
    </row>
    <row r="388" spans="1:26" ht="19.5" customHeight="1">
      <c r="A388" s="28"/>
      <c r="B388" s="28"/>
      <c r="C388" s="28"/>
      <c r="D388" s="29"/>
      <c r="E388" s="29"/>
      <c r="F388" s="28"/>
      <c r="G388" s="28"/>
      <c r="H388" s="28"/>
      <c r="I388" s="28"/>
      <c r="J388" s="28"/>
      <c r="K388" s="28"/>
      <c r="L388" s="28"/>
      <c r="M388" s="28"/>
      <c r="N388" s="28"/>
      <c r="O388" s="28"/>
      <c r="P388" s="28"/>
      <c r="Q388" s="28"/>
      <c r="R388" s="28"/>
      <c r="S388" s="28"/>
      <c r="T388" s="28"/>
      <c r="U388" s="7"/>
      <c r="V388" s="28"/>
      <c r="W388" s="28"/>
      <c r="X388" s="2"/>
      <c r="Y388" s="2"/>
      <c r="Z388" s="2"/>
    </row>
    <row r="389" spans="1:26" ht="19.5" customHeight="1">
      <c r="A389" s="28"/>
      <c r="B389" s="28"/>
      <c r="C389" s="28"/>
      <c r="D389" s="29"/>
      <c r="E389" s="29"/>
      <c r="F389" s="28"/>
      <c r="G389" s="28"/>
      <c r="H389" s="28"/>
      <c r="I389" s="28"/>
      <c r="J389" s="28"/>
      <c r="K389" s="28"/>
      <c r="L389" s="28"/>
      <c r="M389" s="28"/>
      <c r="N389" s="28"/>
      <c r="O389" s="28"/>
      <c r="P389" s="28"/>
      <c r="Q389" s="28"/>
      <c r="R389" s="28"/>
      <c r="S389" s="28"/>
      <c r="T389" s="28"/>
      <c r="U389" s="7"/>
      <c r="V389" s="28"/>
      <c r="W389" s="28"/>
      <c r="X389" s="2"/>
      <c r="Y389" s="2"/>
      <c r="Z389" s="2"/>
    </row>
    <row r="390" spans="1:26" ht="19.5" customHeight="1">
      <c r="A390" s="28"/>
      <c r="B390" s="28"/>
      <c r="C390" s="28"/>
      <c r="D390" s="29"/>
      <c r="E390" s="29"/>
      <c r="F390" s="28"/>
      <c r="G390" s="28"/>
      <c r="H390" s="28"/>
      <c r="I390" s="28"/>
      <c r="J390" s="28"/>
      <c r="K390" s="28"/>
      <c r="L390" s="28"/>
      <c r="M390" s="28"/>
      <c r="N390" s="28"/>
      <c r="O390" s="28"/>
      <c r="P390" s="28"/>
      <c r="Q390" s="28"/>
      <c r="R390" s="28"/>
      <c r="S390" s="28"/>
      <c r="T390" s="28"/>
      <c r="U390" s="7"/>
      <c r="V390" s="28"/>
      <c r="W390" s="28"/>
      <c r="X390" s="2"/>
      <c r="Y390" s="2"/>
      <c r="Z390" s="2"/>
    </row>
    <row r="391" spans="1:26" ht="19.5" customHeight="1">
      <c r="A391" s="28"/>
      <c r="B391" s="28"/>
      <c r="C391" s="28"/>
      <c r="D391" s="29"/>
      <c r="E391" s="29"/>
      <c r="F391" s="28"/>
      <c r="G391" s="28"/>
      <c r="H391" s="28"/>
      <c r="I391" s="28"/>
      <c r="J391" s="28"/>
      <c r="K391" s="28"/>
      <c r="L391" s="28"/>
      <c r="M391" s="28"/>
      <c r="N391" s="28"/>
      <c r="O391" s="28"/>
      <c r="P391" s="28"/>
      <c r="Q391" s="28"/>
      <c r="R391" s="28"/>
      <c r="S391" s="28"/>
      <c r="T391" s="28"/>
      <c r="U391" s="7"/>
      <c r="V391" s="28"/>
      <c r="W391" s="28"/>
      <c r="X391" s="2"/>
      <c r="Y391" s="2"/>
      <c r="Z391" s="2"/>
    </row>
    <row r="392" spans="1:26" ht="19.5" customHeight="1">
      <c r="A392" s="28"/>
      <c r="B392" s="28"/>
      <c r="C392" s="28"/>
      <c r="D392" s="29"/>
      <c r="E392" s="29"/>
      <c r="F392" s="28"/>
      <c r="G392" s="28"/>
      <c r="H392" s="28"/>
      <c r="I392" s="28"/>
      <c r="J392" s="28"/>
      <c r="K392" s="28"/>
      <c r="L392" s="28"/>
      <c r="M392" s="28"/>
      <c r="N392" s="28"/>
      <c r="O392" s="28"/>
      <c r="P392" s="28"/>
      <c r="Q392" s="28"/>
      <c r="R392" s="28"/>
      <c r="S392" s="28"/>
      <c r="T392" s="28"/>
      <c r="U392" s="7"/>
      <c r="V392" s="28"/>
      <c r="W392" s="28"/>
      <c r="X392" s="2"/>
      <c r="Y392" s="2"/>
      <c r="Z392" s="2"/>
    </row>
    <row r="393" spans="1:26" ht="19.5" customHeight="1">
      <c r="A393" s="28"/>
      <c r="B393" s="28"/>
      <c r="C393" s="28"/>
      <c r="D393" s="29"/>
      <c r="E393" s="29"/>
      <c r="F393" s="28"/>
      <c r="G393" s="28"/>
      <c r="H393" s="28"/>
      <c r="I393" s="28"/>
      <c r="J393" s="28"/>
      <c r="K393" s="28"/>
      <c r="L393" s="28"/>
      <c r="M393" s="28"/>
      <c r="N393" s="28"/>
      <c r="O393" s="28"/>
      <c r="P393" s="28"/>
      <c r="Q393" s="28"/>
      <c r="R393" s="28"/>
      <c r="S393" s="28"/>
      <c r="T393" s="28"/>
      <c r="U393" s="7"/>
      <c r="V393" s="28"/>
      <c r="W393" s="28"/>
      <c r="X393" s="2"/>
      <c r="Y393" s="2"/>
      <c r="Z393" s="2"/>
    </row>
    <row r="394" spans="1:26" ht="19.5" customHeight="1">
      <c r="A394" s="28"/>
      <c r="B394" s="28"/>
      <c r="C394" s="28"/>
      <c r="D394" s="29"/>
      <c r="E394" s="29"/>
      <c r="F394" s="28"/>
      <c r="G394" s="28"/>
      <c r="H394" s="28"/>
      <c r="I394" s="28"/>
      <c r="J394" s="28"/>
      <c r="K394" s="28"/>
      <c r="L394" s="28"/>
      <c r="M394" s="28"/>
      <c r="N394" s="28"/>
      <c r="O394" s="28"/>
      <c r="P394" s="28"/>
      <c r="Q394" s="28"/>
      <c r="R394" s="28"/>
      <c r="S394" s="28"/>
      <c r="T394" s="28"/>
      <c r="U394" s="7"/>
      <c r="V394" s="28"/>
      <c r="W394" s="28"/>
      <c r="X394" s="2"/>
      <c r="Y394" s="2"/>
      <c r="Z394" s="2"/>
    </row>
    <row r="395" spans="1:26" ht="19.5" customHeight="1">
      <c r="A395" s="28"/>
      <c r="B395" s="28"/>
      <c r="C395" s="28"/>
      <c r="D395" s="29"/>
      <c r="E395" s="29"/>
      <c r="F395" s="28"/>
      <c r="G395" s="28"/>
      <c r="H395" s="28"/>
      <c r="I395" s="28"/>
      <c r="J395" s="28"/>
      <c r="K395" s="28"/>
      <c r="L395" s="28"/>
      <c r="M395" s="28"/>
      <c r="N395" s="28"/>
      <c r="O395" s="28"/>
      <c r="P395" s="28"/>
      <c r="Q395" s="28"/>
      <c r="R395" s="28"/>
      <c r="S395" s="28"/>
      <c r="T395" s="28"/>
      <c r="U395" s="7"/>
      <c r="V395" s="28"/>
      <c r="W395" s="28"/>
      <c r="X395" s="2"/>
      <c r="Y395" s="2"/>
      <c r="Z395" s="2"/>
    </row>
    <row r="396" spans="1:26" ht="19.5" customHeight="1">
      <c r="A396" s="28"/>
      <c r="B396" s="28"/>
      <c r="C396" s="28"/>
      <c r="D396" s="29"/>
      <c r="E396" s="29"/>
      <c r="F396" s="28"/>
      <c r="G396" s="28"/>
      <c r="H396" s="28"/>
      <c r="I396" s="28"/>
      <c r="J396" s="28"/>
      <c r="K396" s="28"/>
      <c r="L396" s="28"/>
      <c r="M396" s="28"/>
      <c r="N396" s="28"/>
      <c r="O396" s="28"/>
      <c r="P396" s="28"/>
      <c r="Q396" s="28"/>
      <c r="R396" s="28"/>
      <c r="S396" s="28"/>
      <c r="T396" s="28"/>
      <c r="U396" s="7"/>
      <c r="V396" s="28"/>
      <c r="W396" s="28"/>
      <c r="X396" s="2"/>
      <c r="Y396" s="2"/>
      <c r="Z396" s="2"/>
    </row>
    <row r="397" spans="1:26" ht="19.5" customHeight="1">
      <c r="A397" s="28"/>
      <c r="B397" s="28"/>
      <c r="C397" s="28"/>
      <c r="D397" s="29"/>
      <c r="E397" s="29"/>
      <c r="F397" s="28"/>
      <c r="G397" s="28"/>
      <c r="H397" s="28"/>
      <c r="I397" s="28"/>
      <c r="J397" s="28"/>
      <c r="K397" s="28"/>
      <c r="L397" s="28"/>
      <c r="M397" s="28"/>
      <c r="N397" s="28"/>
      <c r="O397" s="28"/>
      <c r="P397" s="28"/>
      <c r="Q397" s="28"/>
      <c r="R397" s="28"/>
      <c r="S397" s="28"/>
      <c r="T397" s="28"/>
      <c r="U397" s="7"/>
      <c r="V397" s="28"/>
      <c r="W397" s="28"/>
      <c r="X397" s="2"/>
      <c r="Y397" s="2"/>
      <c r="Z397" s="2"/>
    </row>
    <row r="398" spans="1:26" ht="19.5" customHeight="1">
      <c r="A398" s="28"/>
      <c r="B398" s="28"/>
      <c r="C398" s="28"/>
      <c r="D398" s="29"/>
      <c r="E398" s="29"/>
      <c r="F398" s="28"/>
      <c r="G398" s="28"/>
      <c r="H398" s="28"/>
      <c r="I398" s="28"/>
      <c r="J398" s="28"/>
      <c r="K398" s="28"/>
      <c r="L398" s="28"/>
      <c r="M398" s="28"/>
      <c r="N398" s="28"/>
      <c r="O398" s="28"/>
      <c r="P398" s="28"/>
      <c r="Q398" s="28"/>
      <c r="R398" s="28"/>
      <c r="S398" s="28"/>
      <c r="T398" s="28"/>
      <c r="U398" s="7"/>
      <c r="V398" s="28"/>
      <c r="W398" s="28"/>
      <c r="X398" s="2"/>
      <c r="Y398" s="2"/>
      <c r="Z398" s="2"/>
    </row>
    <row r="399" spans="1:26" ht="19.5" customHeight="1">
      <c r="A399" s="28"/>
      <c r="B399" s="28"/>
      <c r="C399" s="28"/>
      <c r="D399" s="29"/>
      <c r="E399" s="29"/>
      <c r="F399" s="28"/>
      <c r="G399" s="28"/>
      <c r="H399" s="28"/>
      <c r="I399" s="28"/>
      <c r="J399" s="28"/>
      <c r="K399" s="28"/>
      <c r="L399" s="28"/>
      <c r="M399" s="28"/>
      <c r="N399" s="28"/>
      <c r="O399" s="28"/>
      <c r="P399" s="28"/>
      <c r="Q399" s="28"/>
      <c r="R399" s="28"/>
      <c r="S399" s="28"/>
      <c r="T399" s="28"/>
      <c r="U399" s="7"/>
      <c r="V399" s="28"/>
      <c r="W399" s="28"/>
      <c r="X399" s="2"/>
      <c r="Y399" s="2"/>
      <c r="Z399" s="2"/>
    </row>
    <row r="400" spans="1:26" ht="19.5" customHeight="1">
      <c r="A400" s="28"/>
      <c r="B400" s="28"/>
      <c r="C400" s="28"/>
      <c r="D400" s="29"/>
      <c r="E400" s="29"/>
      <c r="F400" s="28"/>
      <c r="G400" s="28"/>
      <c r="H400" s="28"/>
      <c r="I400" s="28"/>
      <c r="J400" s="28"/>
      <c r="K400" s="28"/>
      <c r="L400" s="28"/>
      <c r="M400" s="28"/>
      <c r="N400" s="28"/>
      <c r="O400" s="28"/>
      <c r="P400" s="28"/>
      <c r="Q400" s="28"/>
      <c r="R400" s="28"/>
      <c r="S400" s="28"/>
      <c r="T400" s="28"/>
      <c r="U400" s="7"/>
      <c r="V400" s="28"/>
      <c r="W400" s="28"/>
      <c r="X400" s="2"/>
      <c r="Y400" s="2"/>
      <c r="Z400" s="2"/>
    </row>
    <row r="401" spans="1:26" ht="19.5" customHeight="1">
      <c r="A401" s="28"/>
      <c r="B401" s="28"/>
      <c r="C401" s="28"/>
      <c r="D401" s="29"/>
      <c r="E401" s="29"/>
      <c r="F401" s="28"/>
      <c r="G401" s="28"/>
      <c r="H401" s="28"/>
      <c r="I401" s="28"/>
      <c r="J401" s="28"/>
      <c r="K401" s="28"/>
      <c r="L401" s="28"/>
      <c r="M401" s="28"/>
      <c r="N401" s="28"/>
      <c r="O401" s="28"/>
      <c r="P401" s="28"/>
      <c r="Q401" s="28"/>
      <c r="R401" s="28"/>
      <c r="S401" s="28"/>
      <c r="T401" s="28"/>
      <c r="U401" s="7"/>
      <c r="V401" s="28"/>
      <c r="W401" s="28"/>
      <c r="X401" s="2"/>
      <c r="Y401" s="2"/>
      <c r="Z401" s="2"/>
    </row>
    <row r="402" spans="1:26" ht="19.5" customHeight="1">
      <c r="A402" s="28"/>
      <c r="B402" s="28"/>
      <c r="C402" s="28"/>
      <c r="D402" s="29"/>
      <c r="E402" s="29"/>
      <c r="F402" s="28"/>
      <c r="G402" s="28"/>
      <c r="H402" s="28"/>
      <c r="I402" s="28"/>
      <c r="J402" s="28"/>
      <c r="K402" s="28"/>
      <c r="L402" s="28"/>
      <c r="M402" s="28"/>
      <c r="N402" s="28"/>
      <c r="O402" s="28"/>
      <c r="P402" s="28"/>
      <c r="Q402" s="28"/>
      <c r="R402" s="28"/>
      <c r="S402" s="28"/>
      <c r="T402" s="28"/>
      <c r="U402" s="7"/>
      <c r="V402" s="28"/>
      <c r="W402" s="28"/>
      <c r="X402" s="2"/>
      <c r="Y402" s="2"/>
      <c r="Z402" s="2"/>
    </row>
    <row r="403" spans="1:26" ht="19.5" customHeight="1">
      <c r="A403" s="28"/>
      <c r="B403" s="28"/>
      <c r="C403" s="28"/>
      <c r="D403" s="29"/>
      <c r="E403" s="29"/>
      <c r="F403" s="28"/>
      <c r="G403" s="28"/>
      <c r="H403" s="28"/>
      <c r="I403" s="28"/>
      <c r="J403" s="28"/>
      <c r="K403" s="28"/>
      <c r="L403" s="28"/>
      <c r="M403" s="28"/>
      <c r="N403" s="28"/>
      <c r="O403" s="28"/>
      <c r="P403" s="28"/>
      <c r="Q403" s="28"/>
      <c r="R403" s="28"/>
      <c r="S403" s="28"/>
      <c r="T403" s="28"/>
      <c r="U403" s="7"/>
      <c r="V403" s="28"/>
      <c r="W403" s="28"/>
      <c r="X403" s="2"/>
      <c r="Y403" s="2"/>
      <c r="Z403" s="2"/>
    </row>
    <row r="404" spans="1:26" ht="19.5" customHeight="1">
      <c r="A404" s="28"/>
      <c r="B404" s="28"/>
      <c r="C404" s="28"/>
      <c r="D404" s="29"/>
      <c r="E404" s="29"/>
      <c r="F404" s="28"/>
      <c r="G404" s="28"/>
      <c r="H404" s="28"/>
      <c r="I404" s="28"/>
      <c r="J404" s="28"/>
      <c r="K404" s="28"/>
      <c r="L404" s="28"/>
      <c r="M404" s="28"/>
      <c r="N404" s="28"/>
      <c r="O404" s="28"/>
      <c r="P404" s="28"/>
      <c r="Q404" s="28"/>
      <c r="R404" s="28"/>
      <c r="S404" s="28"/>
      <c r="T404" s="28"/>
      <c r="U404" s="7"/>
      <c r="V404" s="28"/>
      <c r="W404" s="28"/>
      <c r="X404" s="2"/>
      <c r="Y404" s="2"/>
      <c r="Z404" s="2"/>
    </row>
    <row r="405" spans="1:26" ht="19.5" customHeight="1">
      <c r="A405" s="28"/>
      <c r="B405" s="28"/>
      <c r="C405" s="28"/>
      <c r="D405" s="29"/>
      <c r="E405" s="29"/>
      <c r="F405" s="28"/>
      <c r="G405" s="28"/>
      <c r="H405" s="28"/>
      <c r="I405" s="28"/>
      <c r="J405" s="28"/>
      <c r="K405" s="28"/>
      <c r="L405" s="28"/>
      <c r="M405" s="28"/>
      <c r="N405" s="28"/>
      <c r="O405" s="28"/>
      <c r="P405" s="28"/>
      <c r="Q405" s="28"/>
      <c r="R405" s="28"/>
      <c r="S405" s="28"/>
      <c r="T405" s="28"/>
      <c r="U405" s="7"/>
      <c r="V405" s="28"/>
      <c r="W405" s="28"/>
      <c r="X405" s="2"/>
      <c r="Y405" s="2"/>
      <c r="Z405" s="2"/>
    </row>
    <row r="406" spans="1:26" ht="19.5" customHeight="1">
      <c r="A406" s="28"/>
      <c r="B406" s="28"/>
      <c r="C406" s="28"/>
      <c r="D406" s="29"/>
      <c r="E406" s="29"/>
      <c r="F406" s="28"/>
      <c r="G406" s="28"/>
      <c r="H406" s="28"/>
      <c r="I406" s="28"/>
      <c r="J406" s="28"/>
      <c r="K406" s="28"/>
      <c r="L406" s="28"/>
      <c r="M406" s="28"/>
      <c r="N406" s="28"/>
      <c r="O406" s="28"/>
      <c r="P406" s="28"/>
      <c r="Q406" s="28"/>
      <c r="R406" s="28"/>
      <c r="S406" s="28"/>
      <c r="T406" s="28"/>
      <c r="U406" s="7"/>
      <c r="V406" s="28"/>
      <c r="W406" s="28"/>
      <c r="X406" s="2"/>
      <c r="Y406" s="2"/>
      <c r="Z406" s="2"/>
    </row>
    <row r="407" spans="1:26" ht="19.5" customHeight="1">
      <c r="A407" s="28"/>
      <c r="B407" s="28"/>
      <c r="C407" s="28"/>
      <c r="D407" s="29"/>
      <c r="E407" s="29"/>
      <c r="F407" s="28"/>
      <c r="G407" s="28"/>
      <c r="H407" s="28"/>
      <c r="I407" s="28"/>
      <c r="J407" s="28"/>
      <c r="K407" s="28"/>
      <c r="L407" s="28"/>
      <c r="M407" s="28"/>
      <c r="N407" s="28"/>
      <c r="O407" s="28"/>
      <c r="P407" s="28"/>
      <c r="Q407" s="28"/>
      <c r="R407" s="28"/>
      <c r="S407" s="28"/>
      <c r="T407" s="28"/>
      <c r="U407" s="7"/>
      <c r="V407" s="28"/>
      <c r="W407" s="28"/>
      <c r="X407" s="2"/>
      <c r="Y407" s="2"/>
      <c r="Z407" s="2"/>
    </row>
    <row r="408" spans="1:26" ht="19.5" customHeight="1">
      <c r="A408" s="28"/>
      <c r="B408" s="28"/>
      <c r="C408" s="28"/>
      <c r="D408" s="29"/>
      <c r="E408" s="29"/>
      <c r="F408" s="28"/>
      <c r="G408" s="28"/>
      <c r="H408" s="28"/>
      <c r="I408" s="28"/>
      <c r="J408" s="28"/>
      <c r="K408" s="28"/>
      <c r="L408" s="28"/>
      <c r="M408" s="28"/>
      <c r="N408" s="28"/>
      <c r="O408" s="28"/>
      <c r="P408" s="28"/>
      <c r="Q408" s="28"/>
      <c r="R408" s="28"/>
      <c r="S408" s="28"/>
      <c r="T408" s="28"/>
      <c r="U408" s="7"/>
      <c r="V408" s="28"/>
      <c r="W408" s="28"/>
      <c r="X408" s="2"/>
      <c r="Y408" s="2"/>
      <c r="Z408" s="2"/>
    </row>
    <row r="409" spans="1:26" ht="19.5" customHeight="1">
      <c r="A409" s="28"/>
      <c r="B409" s="28"/>
      <c r="C409" s="28"/>
      <c r="D409" s="29"/>
      <c r="E409" s="29"/>
      <c r="F409" s="28"/>
      <c r="G409" s="28"/>
      <c r="H409" s="28"/>
      <c r="I409" s="28"/>
      <c r="J409" s="28"/>
      <c r="K409" s="28"/>
      <c r="L409" s="28"/>
      <c r="M409" s="28"/>
      <c r="N409" s="28"/>
      <c r="O409" s="28"/>
      <c r="P409" s="28"/>
      <c r="Q409" s="28"/>
      <c r="R409" s="28"/>
      <c r="S409" s="28"/>
      <c r="T409" s="28"/>
      <c r="U409" s="7"/>
      <c r="V409" s="28"/>
      <c r="W409" s="28"/>
      <c r="X409" s="2"/>
      <c r="Y409" s="2"/>
      <c r="Z409" s="2"/>
    </row>
    <row r="410" spans="1:26" ht="19.5" customHeight="1">
      <c r="A410" s="28"/>
      <c r="B410" s="28"/>
      <c r="C410" s="28"/>
      <c r="D410" s="29"/>
      <c r="E410" s="29"/>
      <c r="F410" s="28"/>
      <c r="G410" s="28"/>
      <c r="H410" s="28"/>
      <c r="I410" s="28"/>
      <c r="J410" s="28"/>
      <c r="K410" s="28"/>
      <c r="L410" s="28"/>
      <c r="M410" s="28"/>
      <c r="N410" s="28"/>
      <c r="O410" s="28"/>
      <c r="P410" s="28"/>
      <c r="Q410" s="28"/>
      <c r="R410" s="28"/>
      <c r="S410" s="28"/>
      <c r="T410" s="28"/>
      <c r="U410" s="7"/>
      <c r="V410" s="28"/>
      <c r="W410" s="28"/>
      <c r="X410" s="2"/>
      <c r="Y410" s="2"/>
      <c r="Z410" s="2"/>
    </row>
    <row r="411" spans="1:26" ht="19.5" customHeight="1">
      <c r="A411" s="28"/>
      <c r="B411" s="28"/>
      <c r="C411" s="28"/>
      <c r="D411" s="29"/>
      <c r="E411" s="29"/>
      <c r="F411" s="28"/>
      <c r="G411" s="28"/>
      <c r="H411" s="28"/>
      <c r="I411" s="28"/>
      <c r="J411" s="28"/>
      <c r="K411" s="28"/>
      <c r="L411" s="28"/>
      <c r="M411" s="28"/>
      <c r="N411" s="28"/>
      <c r="O411" s="28"/>
      <c r="P411" s="28"/>
      <c r="Q411" s="28"/>
      <c r="R411" s="28"/>
      <c r="S411" s="28"/>
      <c r="T411" s="28"/>
      <c r="U411" s="7"/>
      <c r="V411" s="28"/>
      <c r="W411" s="28"/>
      <c r="X411" s="2"/>
      <c r="Y411" s="2"/>
      <c r="Z411" s="2"/>
    </row>
    <row r="412" spans="1:26" ht="19.5" customHeight="1">
      <c r="A412" s="28"/>
      <c r="B412" s="28"/>
      <c r="C412" s="28"/>
      <c r="D412" s="29"/>
      <c r="E412" s="29"/>
      <c r="F412" s="28"/>
      <c r="G412" s="28"/>
      <c r="H412" s="28"/>
      <c r="I412" s="28"/>
      <c r="J412" s="28"/>
      <c r="K412" s="28"/>
      <c r="L412" s="28"/>
      <c r="M412" s="28"/>
      <c r="N412" s="28"/>
      <c r="O412" s="28"/>
      <c r="P412" s="28"/>
      <c r="Q412" s="28"/>
      <c r="R412" s="28"/>
      <c r="S412" s="28"/>
      <c r="T412" s="28"/>
      <c r="U412" s="7"/>
      <c r="V412" s="28"/>
      <c r="W412" s="28"/>
      <c r="X412" s="2"/>
      <c r="Y412" s="2"/>
      <c r="Z412" s="2"/>
    </row>
    <row r="413" spans="1:26" ht="19.5" customHeight="1">
      <c r="A413" s="28"/>
      <c r="B413" s="28"/>
      <c r="C413" s="28"/>
      <c r="D413" s="29"/>
      <c r="E413" s="29"/>
      <c r="F413" s="28"/>
      <c r="G413" s="28"/>
      <c r="H413" s="28"/>
      <c r="I413" s="28"/>
      <c r="J413" s="28"/>
      <c r="K413" s="28"/>
      <c r="L413" s="28"/>
      <c r="M413" s="28"/>
      <c r="N413" s="28"/>
      <c r="O413" s="28"/>
      <c r="P413" s="28"/>
      <c r="Q413" s="28"/>
      <c r="R413" s="28"/>
      <c r="S413" s="28"/>
      <c r="T413" s="28"/>
      <c r="U413" s="7"/>
      <c r="V413" s="28"/>
      <c r="W413" s="28"/>
      <c r="X413" s="2"/>
      <c r="Y413" s="2"/>
      <c r="Z413" s="2"/>
    </row>
    <row r="414" spans="1:26" ht="19.5" customHeight="1">
      <c r="A414" s="28"/>
      <c r="B414" s="28"/>
      <c r="C414" s="28"/>
      <c r="D414" s="29"/>
      <c r="E414" s="29"/>
      <c r="F414" s="28"/>
      <c r="G414" s="28"/>
      <c r="H414" s="28"/>
      <c r="I414" s="28"/>
      <c r="J414" s="28"/>
      <c r="K414" s="28"/>
      <c r="L414" s="28"/>
      <c r="M414" s="28"/>
      <c r="N414" s="28"/>
      <c r="O414" s="28"/>
      <c r="P414" s="28"/>
      <c r="Q414" s="28"/>
      <c r="R414" s="28"/>
      <c r="S414" s="28"/>
      <c r="T414" s="28"/>
      <c r="U414" s="7"/>
      <c r="V414" s="28"/>
      <c r="W414" s="28"/>
      <c r="X414" s="2"/>
      <c r="Y414" s="2"/>
      <c r="Z414" s="2"/>
    </row>
    <row r="415" spans="1:26" ht="19.5" customHeight="1">
      <c r="A415" s="28"/>
      <c r="B415" s="28"/>
      <c r="C415" s="28"/>
      <c r="D415" s="29"/>
      <c r="E415" s="29"/>
      <c r="F415" s="28"/>
      <c r="G415" s="28"/>
      <c r="H415" s="28"/>
      <c r="I415" s="28"/>
      <c r="J415" s="28"/>
      <c r="K415" s="28"/>
      <c r="L415" s="28"/>
      <c r="M415" s="28"/>
      <c r="N415" s="28"/>
      <c r="O415" s="28"/>
      <c r="P415" s="28"/>
      <c r="Q415" s="28"/>
      <c r="R415" s="28"/>
      <c r="S415" s="28"/>
      <c r="T415" s="28"/>
      <c r="U415" s="7"/>
      <c r="V415" s="28"/>
      <c r="W415" s="28"/>
      <c r="X415" s="2"/>
      <c r="Y415" s="2"/>
      <c r="Z415" s="2"/>
    </row>
    <row r="416" spans="1:26" ht="19.5" customHeight="1">
      <c r="A416" s="28"/>
      <c r="B416" s="28"/>
      <c r="C416" s="28"/>
      <c r="D416" s="29"/>
      <c r="E416" s="29"/>
      <c r="F416" s="28"/>
      <c r="G416" s="28"/>
      <c r="H416" s="28"/>
      <c r="I416" s="28"/>
      <c r="J416" s="28"/>
      <c r="K416" s="28"/>
      <c r="L416" s="28"/>
      <c r="M416" s="28"/>
      <c r="N416" s="28"/>
      <c r="O416" s="28"/>
      <c r="P416" s="28"/>
      <c r="Q416" s="28"/>
      <c r="R416" s="28"/>
      <c r="S416" s="28"/>
      <c r="T416" s="28"/>
      <c r="U416" s="7"/>
      <c r="V416" s="28"/>
      <c r="W416" s="28"/>
      <c r="X416" s="2"/>
      <c r="Y416" s="2"/>
      <c r="Z416" s="2"/>
    </row>
    <row r="417" spans="1:26" ht="19.5" customHeight="1">
      <c r="A417" s="28"/>
      <c r="B417" s="28"/>
      <c r="C417" s="28"/>
      <c r="D417" s="29"/>
      <c r="E417" s="29"/>
      <c r="F417" s="28"/>
      <c r="G417" s="28"/>
      <c r="H417" s="28"/>
      <c r="I417" s="28"/>
      <c r="J417" s="28"/>
      <c r="K417" s="28"/>
      <c r="L417" s="28"/>
      <c r="M417" s="28"/>
      <c r="N417" s="28"/>
      <c r="O417" s="28"/>
      <c r="P417" s="28"/>
      <c r="Q417" s="28"/>
      <c r="R417" s="28"/>
      <c r="S417" s="28"/>
      <c r="T417" s="28"/>
      <c r="U417" s="7"/>
      <c r="V417" s="28"/>
      <c r="W417" s="28"/>
      <c r="X417" s="2"/>
      <c r="Y417" s="2"/>
      <c r="Z417" s="2"/>
    </row>
    <row r="418" spans="1:26" ht="19.5" customHeight="1">
      <c r="A418" s="28"/>
      <c r="B418" s="28"/>
      <c r="C418" s="28"/>
      <c r="D418" s="29"/>
      <c r="E418" s="29"/>
      <c r="F418" s="28"/>
      <c r="G418" s="28"/>
      <c r="H418" s="28"/>
      <c r="I418" s="28"/>
      <c r="J418" s="28"/>
      <c r="K418" s="28"/>
      <c r="L418" s="28"/>
      <c r="M418" s="28"/>
      <c r="N418" s="28"/>
      <c r="O418" s="28"/>
      <c r="P418" s="28"/>
      <c r="Q418" s="28"/>
      <c r="R418" s="28"/>
      <c r="S418" s="28"/>
      <c r="T418" s="28"/>
      <c r="U418" s="7"/>
      <c r="V418" s="28"/>
      <c r="W418" s="28"/>
      <c r="X418" s="2"/>
      <c r="Y418" s="2"/>
      <c r="Z418" s="2"/>
    </row>
    <row r="419" spans="1:26" ht="19.5" customHeight="1">
      <c r="A419" s="28"/>
      <c r="B419" s="28"/>
      <c r="C419" s="28"/>
      <c r="D419" s="29"/>
      <c r="E419" s="29"/>
      <c r="F419" s="28"/>
      <c r="G419" s="28"/>
      <c r="H419" s="28"/>
      <c r="I419" s="28"/>
      <c r="J419" s="28"/>
      <c r="K419" s="28"/>
      <c r="L419" s="28"/>
      <c r="M419" s="28"/>
      <c r="N419" s="28"/>
      <c r="O419" s="28"/>
      <c r="P419" s="28"/>
      <c r="Q419" s="28"/>
      <c r="R419" s="28"/>
      <c r="S419" s="28"/>
      <c r="T419" s="28"/>
      <c r="U419" s="7"/>
      <c r="V419" s="28"/>
      <c r="W419" s="28"/>
      <c r="X419" s="2"/>
      <c r="Y419" s="2"/>
      <c r="Z419" s="2"/>
    </row>
    <row r="420" spans="1:26" ht="19.5" customHeight="1">
      <c r="A420" s="28"/>
      <c r="B420" s="28"/>
      <c r="C420" s="28"/>
      <c r="D420" s="29"/>
      <c r="E420" s="29"/>
      <c r="F420" s="28"/>
      <c r="G420" s="28"/>
      <c r="H420" s="28"/>
      <c r="I420" s="28"/>
      <c r="J420" s="28"/>
      <c r="K420" s="28"/>
      <c r="L420" s="28"/>
      <c r="M420" s="28"/>
      <c r="N420" s="28"/>
      <c r="O420" s="28"/>
      <c r="P420" s="28"/>
      <c r="Q420" s="28"/>
      <c r="R420" s="28"/>
      <c r="S420" s="28"/>
      <c r="T420" s="28"/>
      <c r="U420" s="7"/>
      <c r="V420" s="28"/>
      <c r="W420" s="28"/>
      <c r="X420" s="2"/>
      <c r="Y420" s="2"/>
      <c r="Z420" s="2"/>
    </row>
    <row r="421" spans="1:26" ht="19.5" customHeight="1">
      <c r="A421" s="28"/>
      <c r="B421" s="28"/>
      <c r="C421" s="28"/>
      <c r="D421" s="29"/>
      <c r="E421" s="29"/>
      <c r="F421" s="28"/>
      <c r="G421" s="28"/>
      <c r="H421" s="28"/>
      <c r="I421" s="28"/>
      <c r="J421" s="28"/>
      <c r="K421" s="28"/>
      <c r="L421" s="28"/>
      <c r="M421" s="28"/>
      <c r="N421" s="28"/>
      <c r="O421" s="28"/>
      <c r="P421" s="28"/>
      <c r="Q421" s="28"/>
      <c r="R421" s="28"/>
      <c r="S421" s="28"/>
      <c r="T421" s="28"/>
      <c r="U421" s="7"/>
      <c r="V421" s="28"/>
      <c r="W421" s="28"/>
      <c r="X421" s="2"/>
      <c r="Y421" s="2"/>
      <c r="Z421" s="2"/>
    </row>
    <row r="422" spans="1:26" ht="19.5" customHeight="1">
      <c r="A422" s="28"/>
      <c r="B422" s="28"/>
      <c r="C422" s="28"/>
      <c r="D422" s="29"/>
      <c r="E422" s="29"/>
      <c r="F422" s="28"/>
      <c r="G422" s="28"/>
      <c r="H422" s="28"/>
      <c r="I422" s="28"/>
      <c r="J422" s="28"/>
      <c r="K422" s="28"/>
      <c r="L422" s="28"/>
      <c r="M422" s="28"/>
      <c r="N422" s="28"/>
      <c r="O422" s="28"/>
      <c r="P422" s="28"/>
      <c r="Q422" s="28"/>
      <c r="R422" s="28"/>
      <c r="S422" s="28"/>
      <c r="T422" s="28"/>
      <c r="U422" s="7"/>
      <c r="V422" s="28"/>
      <c r="W422" s="28"/>
      <c r="X422" s="2"/>
      <c r="Y422" s="2"/>
      <c r="Z422" s="2"/>
    </row>
    <row r="423" spans="1:26" ht="19.5" customHeight="1">
      <c r="A423" s="28"/>
      <c r="B423" s="28"/>
      <c r="C423" s="28"/>
      <c r="D423" s="29"/>
      <c r="E423" s="29"/>
      <c r="F423" s="28"/>
      <c r="G423" s="28"/>
      <c r="H423" s="28"/>
      <c r="I423" s="28"/>
      <c r="J423" s="28"/>
      <c r="K423" s="28"/>
      <c r="L423" s="28"/>
      <c r="M423" s="28"/>
      <c r="N423" s="28"/>
      <c r="O423" s="28"/>
      <c r="P423" s="28"/>
      <c r="Q423" s="28"/>
      <c r="R423" s="28"/>
      <c r="S423" s="28"/>
      <c r="T423" s="28"/>
      <c r="U423" s="7"/>
      <c r="V423" s="28"/>
      <c r="W423" s="28"/>
      <c r="X423" s="2"/>
      <c r="Y423" s="2"/>
      <c r="Z423" s="2"/>
    </row>
    <row r="424" spans="1:26" ht="19.5" customHeight="1">
      <c r="A424" s="28"/>
      <c r="B424" s="28"/>
      <c r="C424" s="28"/>
      <c r="D424" s="29"/>
      <c r="E424" s="29"/>
      <c r="F424" s="28"/>
      <c r="G424" s="28"/>
      <c r="H424" s="28"/>
      <c r="I424" s="28"/>
      <c r="J424" s="28"/>
      <c r="K424" s="28"/>
      <c r="L424" s="28"/>
      <c r="M424" s="28"/>
      <c r="N424" s="28"/>
      <c r="O424" s="28"/>
      <c r="P424" s="28"/>
      <c r="Q424" s="28"/>
      <c r="R424" s="28"/>
      <c r="S424" s="28"/>
      <c r="T424" s="28"/>
      <c r="U424" s="7"/>
      <c r="V424" s="28"/>
      <c r="W424" s="28"/>
      <c r="X424" s="2"/>
      <c r="Y424" s="2"/>
      <c r="Z424" s="2"/>
    </row>
    <row r="425" spans="1:26" ht="19.5" customHeight="1">
      <c r="A425" s="28"/>
      <c r="B425" s="28"/>
      <c r="C425" s="28"/>
      <c r="D425" s="29"/>
      <c r="E425" s="29"/>
      <c r="F425" s="28"/>
      <c r="G425" s="28"/>
      <c r="H425" s="28"/>
      <c r="I425" s="28"/>
      <c r="J425" s="28"/>
      <c r="K425" s="28"/>
      <c r="L425" s="28"/>
      <c r="M425" s="28"/>
      <c r="N425" s="28"/>
      <c r="O425" s="28"/>
      <c r="P425" s="28"/>
      <c r="Q425" s="28"/>
      <c r="R425" s="28"/>
      <c r="S425" s="28"/>
      <c r="T425" s="28"/>
      <c r="U425" s="7"/>
      <c r="V425" s="28"/>
      <c r="W425" s="28"/>
      <c r="X425" s="2"/>
      <c r="Y425" s="2"/>
      <c r="Z425" s="2"/>
    </row>
    <row r="426" spans="1:26" ht="19.5" customHeight="1">
      <c r="A426" s="28"/>
      <c r="B426" s="28"/>
      <c r="C426" s="28"/>
      <c r="D426" s="29"/>
      <c r="E426" s="29"/>
      <c r="F426" s="28"/>
      <c r="G426" s="28"/>
      <c r="H426" s="28"/>
      <c r="I426" s="28"/>
      <c r="J426" s="28"/>
      <c r="K426" s="28"/>
      <c r="L426" s="28"/>
      <c r="M426" s="28"/>
      <c r="N426" s="28"/>
      <c r="O426" s="28"/>
      <c r="P426" s="28"/>
      <c r="Q426" s="28"/>
      <c r="R426" s="28"/>
      <c r="S426" s="28"/>
      <c r="T426" s="28"/>
      <c r="U426" s="7"/>
      <c r="V426" s="28"/>
      <c r="W426" s="28"/>
      <c r="X426" s="2"/>
      <c r="Y426" s="2"/>
      <c r="Z426" s="2"/>
    </row>
    <row r="427" spans="1:26" ht="19.5" customHeight="1">
      <c r="A427" s="28"/>
      <c r="B427" s="28"/>
      <c r="C427" s="28"/>
      <c r="D427" s="29"/>
      <c r="E427" s="29"/>
      <c r="F427" s="28"/>
      <c r="G427" s="28"/>
      <c r="H427" s="28"/>
      <c r="I427" s="28"/>
      <c r="J427" s="28"/>
      <c r="K427" s="28"/>
      <c r="L427" s="28"/>
      <c r="M427" s="28"/>
      <c r="N427" s="28"/>
      <c r="O427" s="28"/>
      <c r="P427" s="28"/>
      <c r="Q427" s="28"/>
      <c r="R427" s="28"/>
      <c r="S427" s="28"/>
      <c r="T427" s="28"/>
      <c r="U427" s="7"/>
      <c r="V427" s="28"/>
      <c r="W427" s="28"/>
      <c r="X427" s="2"/>
      <c r="Y427" s="2"/>
      <c r="Z427" s="2"/>
    </row>
    <row r="428" spans="1:26" ht="19.5" customHeight="1">
      <c r="A428" s="28"/>
      <c r="B428" s="28"/>
      <c r="C428" s="28"/>
      <c r="D428" s="29"/>
      <c r="E428" s="29"/>
      <c r="F428" s="28"/>
      <c r="G428" s="28"/>
      <c r="H428" s="28"/>
      <c r="I428" s="28"/>
      <c r="J428" s="28"/>
      <c r="K428" s="28"/>
      <c r="L428" s="28"/>
      <c r="M428" s="28"/>
      <c r="N428" s="28"/>
      <c r="O428" s="28"/>
      <c r="P428" s="28"/>
      <c r="Q428" s="28"/>
      <c r="R428" s="28"/>
      <c r="S428" s="28"/>
      <c r="T428" s="28"/>
      <c r="U428" s="7"/>
      <c r="V428" s="28"/>
      <c r="W428" s="28"/>
      <c r="X428" s="2"/>
      <c r="Y428" s="2"/>
      <c r="Z428" s="2"/>
    </row>
    <row r="429" spans="1:26" ht="19.5" customHeight="1">
      <c r="A429" s="28"/>
      <c r="B429" s="28"/>
      <c r="C429" s="28"/>
      <c r="D429" s="29"/>
      <c r="E429" s="29"/>
      <c r="F429" s="28"/>
      <c r="G429" s="28"/>
      <c r="H429" s="28"/>
      <c r="I429" s="28"/>
      <c r="J429" s="28"/>
      <c r="K429" s="28"/>
      <c r="L429" s="28"/>
      <c r="M429" s="28"/>
      <c r="N429" s="28"/>
      <c r="O429" s="28"/>
      <c r="P429" s="28"/>
      <c r="Q429" s="28"/>
      <c r="R429" s="28"/>
      <c r="S429" s="28"/>
      <c r="T429" s="28"/>
      <c r="U429" s="7"/>
      <c r="V429" s="28"/>
      <c r="W429" s="28"/>
      <c r="X429" s="2"/>
      <c r="Y429" s="2"/>
      <c r="Z429" s="2"/>
    </row>
    <row r="430" spans="1:26" ht="19.5" customHeight="1">
      <c r="A430" s="28"/>
      <c r="B430" s="28"/>
      <c r="C430" s="28"/>
      <c r="D430" s="29"/>
      <c r="E430" s="29"/>
      <c r="F430" s="28"/>
      <c r="G430" s="28"/>
      <c r="H430" s="28"/>
      <c r="I430" s="28"/>
      <c r="J430" s="28"/>
      <c r="K430" s="28"/>
      <c r="L430" s="28"/>
      <c r="M430" s="28"/>
      <c r="N430" s="28"/>
      <c r="O430" s="28"/>
      <c r="P430" s="28"/>
      <c r="Q430" s="28"/>
      <c r="R430" s="28"/>
      <c r="S430" s="28"/>
      <c r="T430" s="28"/>
      <c r="U430" s="7"/>
      <c r="V430" s="28"/>
      <c r="W430" s="28"/>
      <c r="X430" s="2"/>
      <c r="Y430" s="2"/>
      <c r="Z430" s="2"/>
    </row>
    <row r="431" spans="1:26" ht="19.5" customHeight="1">
      <c r="A431" s="28"/>
      <c r="B431" s="28"/>
      <c r="C431" s="28"/>
      <c r="D431" s="29"/>
      <c r="E431" s="29"/>
      <c r="F431" s="28"/>
      <c r="G431" s="28"/>
      <c r="H431" s="28"/>
      <c r="I431" s="28"/>
      <c r="J431" s="28"/>
      <c r="K431" s="28"/>
      <c r="L431" s="28"/>
      <c r="M431" s="28"/>
      <c r="N431" s="28"/>
      <c r="O431" s="28"/>
      <c r="P431" s="28"/>
      <c r="Q431" s="28"/>
      <c r="R431" s="28"/>
      <c r="S431" s="28"/>
      <c r="T431" s="28"/>
      <c r="U431" s="7"/>
      <c r="V431" s="28"/>
      <c r="W431" s="28"/>
      <c r="X431" s="2"/>
      <c r="Y431" s="2"/>
      <c r="Z431" s="2"/>
    </row>
    <row r="432" spans="1:26" ht="19.5" customHeight="1">
      <c r="A432" s="28"/>
      <c r="B432" s="28"/>
      <c r="C432" s="28"/>
      <c r="D432" s="29"/>
      <c r="E432" s="29"/>
      <c r="F432" s="28"/>
      <c r="G432" s="28"/>
      <c r="H432" s="28"/>
      <c r="I432" s="28"/>
      <c r="J432" s="28"/>
      <c r="K432" s="28"/>
      <c r="L432" s="28"/>
      <c r="M432" s="28"/>
      <c r="N432" s="28"/>
      <c r="O432" s="28"/>
      <c r="P432" s="28"/>
      <c r="Q432" s="28"/>
      <c r="R432" s="28"/>
      <c r="S432" s="28"/>
      <c r="T432" s="28"/>
      <c r="U432" s="7"/>
      <c r="V432" s="28"/>
      <c r="W432" s="28"/>
      <c r="X432" s="2"/>
      <c r="Y432" s="2"/>
      <c r="Z432" s="2"/>
    </row>
    <row r="433" spans="1:26" ht="19.5" customHeight="1">
      <c r="A433" s="28"/>
      <c r="B433" s="28"/>
      <c r="C433" s="28"/>
      <c r="D433" s="29"/>
      <c r="E433" s="29"/>
      <c r="F433" s="28"/>
      <c r="G433" s="28"/>
      <c r="H433" s="28"/>
      <c r="I433" s="28"/>
      <c r="J433" s="28"/>
      <c r="K433" s="28"/>
      <c r="L433" s="28"/>
      <c r="M433" s="28"/>
      <c r="N433" s="28"/>
      <c r="O433" s="28"/>
      <c r="P433" s="28"/>
      <c r="Q433" s="28"/>
      <c r="R433" s="28"/>
      <c r="S433" s="28"/>
      <c r="T433" s="28"/>
      <c r="U433" s="7"/>
      <c r="V433" s="28"/>
      <c r="W433" s="28"/>
      <c r="X433" s="2"/>
      <c r="Y433" s="2"/>
      <c r="Z433" s="2"/>
    </row>
    <row r="434" spans="1:26" ht="19.5" customHeight="1">
      <c r="A434" s="28"/>
      <c r="B434" s="28"/>
      <c r="C434" s="28"/>
      <c r="D434" s="29"/>
      <c r="E434" s="29"/>
      <c r="F434" s="28"/>
      <c r="G434" s="28"/>
      <c r="H434" s="28"/>
      <c r="I434" s="28"/>
      <c r="J434" s="28"/>
      <c r="K434" s="28"/>
      <c r="L434" s="28"/>
      <c r="M434" s="28"/>
      <c r="N434" s="28"/>
      <c r="O434" s="28"/>
      <c r="P434" s="28"/>
      <c r="Q434" s="28"/>
      <c r="R434" s="28"/>
      <c r="S434" s="28"/>
      <c r="T434" s="28"/>
      <c r="U434" s="7"/>
      <c r="V434" s="28"/>
      <c r="W434" s="28"/>
      <c r="X434" s="2"/>
      <c r="Y434" s="2"/>
      <c r="Z434" s="2"/>
    </row>
    <row r="435" spans="1:26" ht="19.5" customHeight="1">
      <c r="A435" s="28"/>
      <c r="B435" s="28"/>
      <c r="C435" s="28"/>
      <c r="D435" s="29"/>
      <c r="E435" s="29"/>
      <c r="F435" s="28"/>
      <c r="G435" s="28"/>
      <c r="H435" s="28"/>
      <c r="I435" s="28"/>
      <c r="J435" s="28"/>
      <c r="K435" s="28"/>
      <c r="L435" s="28"/>
      <c r="M435" s="28"/>
      <c r="N435" s="28"/>
      <c r="O435" s="28"/>
      <c r="P435" s="28"/>
      <c r="Q435" s="28"/>
      <c r="R435" s="28"/>
      <c r="S435" s="28"/>
      <c r="T435" s="28"/>
      <c r="U435" s="7"/>
      <c r="V435" s="28"/>
      <c r="W435" s="28"/>
      <c r="X435" s="2"/>
      <c r="Y435" s="2"/>
      <c r="Z435" s="2"/>
    </row>
    <row r="436" spans="1:26" ht="19.5" customHeight="1">
      <c r="A436" s="28"/>
      <c r="B436" s="28"/>
      <c r="C436" s="28"/>
      <c r="D436" s="29"/>
      <c r="E436" s="29"/>
      <c r="F436" s="28"/>
      <c r="G436" s="28"/>
      <c r="H436" s="28"/>
      <c r="I436" s="28"/>
      <c r="J436" s="28"/>
      <c r="K436" s="28"/>
      <c r="L436" s="28"/>
      <c r="M436" s="28"/>
      <c r="N436" s="28"/>
      <c r="O436" s="28"/>
      <c r="P436" s="28"/>
      <c r="Q436" s="28"/>
      <c r="R436" s="28"/>
      <c r="S436" s="28"/>
      <c r="T436" s="28"/>
      <c r="U436" s="7"/>
      <c r="V436" s="28"/>
      <c r="W436" s="28"/>
      <c r="X436" s="2"/>
      <c r="Y436" s="2"/>
      <c r="Z436" s="2"/>
    </row>
    <row r="437" spans="1:26" ht="19.5" customHeight="1">
      <c r="A437" s="28"/>
      <c r="B437" s="28"/>
      <c r="C437" s="28"/>
      <c r="D437" s="29"/>
      <c r="E437" s="29"/>
      <c r="F437" s="28"/>
      <c r="G437" s="28"/>
      <c r="H437" s="28"/>
      <c r="I437" s="28"/>
      <c r="J437" s="28"/>
      <c r="K437" s="28"/>
      <c r="L437" s="28"/>
      <c r="M437" s="28"/>
      <c r="N437" s="28"/>
      <c r="O437" s="28"/>
      <c r="P437" s="28"/>
      <c r="Q437" s="28"/>
      <c r="R437" s="28"/>
      <c r="S437" s="28"/>
      <c r="T437" s="28"/>
      <c r="U437" s="7"/>
      <c r="V437" s="28"/>
      <c r="W437" s="28"/>
      <c r="X437" s="2"/>
      <c r="Y437" s="2"/>
      <c r="Z437" s="2"/>
    </row>
    <row r="438" spans="1:26" ht="19.5" customHeight="1">
      <c r="A438" s="28"/>
      <c r="B438" s="28"/>
      <c r="C438" s="28"/>
      <c r="D438" s="29"/>
      <c r="E438" s="29"/>
      <c r="F438" s="28"/>
      <c r="G438" s="28"/>
      <c r="H438" s="28"/>
      <c r="I438" s="28"/>
      <c r="J438" s="28"/>
      <c r="K438" s="28"/>
      <c r="L438" s="28"/>
      <c r="M438" s="28"/>
      <c r="N438" s="28"/>
      <c r="O438" s="28"/>
      <c r="P438" s="28"/>
      <c r="Q438" s="28"/>
      <c r="R438" s="28"/>
      <c r="S438" s="28"/>
      <c r="T438" s="28"/>
      <c r="U438" s="7"/>
      <c r="V438" s="28"/>
      <c r="W438" s="28"/>
      <c r="X438" s="2"/>
      <c r="Y438" s="2"/>
      <c r="Z438" s="2"/>
    </row>
    <row r="439" spans="1:26" ht="19.5" customHeight="1">
      <c r="A439" s="28"/>
      <c r="B439" s="28"/>
      <c r="C439" s="28"/>
      <c r="D439" s="29"/>
      <c r="E439" s="29"/>
      <c r="F439" s="28"/>
      <c r="G439" s="28"/>
      <c r="H439" s="28"/>
      <c r="I439" s="28"/>
      <c r="J439" s="28"/>
      <c r="K439" s="28"/>
      <c r="L439" s="28"/>
      <c r="M439" s="28"/>
      <c r="N439" s="28"/>
      <c r="O439" s="28"/>
      <c r="P439" s="28"/>
      <c r="Q439" s="28"/>
      <c r="R439" s="28"/>
      <c r="S439" s="28"/>
      <c r="T439" s="28"/>
      <c r="U439" s="7"/>
      <c r="V439" s="28"/>
      <c r="W439" s="28"/>
      <c r="X439" s="2"/>
      <c r="Y439" s="2"/>
      <c r="Z439" s="2"/>
    </row>
    <row r="440" spans="1:26" ht="19.5" customHeight="1">
      <c r="A440" s="28"/>
      <c r="B440" s="28"/>
      <c r="C440" s="28"/>
      <c r="D440" s="29"/>
      <c r="E440" s="29"/>
      <c r="F440" s="28"/>
      <c r="G440" s="28"/>
      <c r="H440" s="28"/>
      <c r="I440" s="28"/>
      <c r="J440" s="28"/>
      <c r="K440" s="28"/>
      <c r="L440" s="28"/>
      <c r="M440" s="28"/>
      <c r="N440" s="28"/>
      <c r="O440" s="28"/>
      <c r="P440" s="28"/>
      <c r="Q440" s="28"/>
      <c r="R440" s="28"/>
      <c r="S440" s="28"/>
      <c r="T440" s="28"/>
      <c r="U440" s="7"/>
      <c r="V440" s="28"/>
      <c r="W440" s="28"/>
      <c r="X440" s="2"/>
      <c r="Y440" s="2"/>
      <c r="Z440" s="2"/>
    </row>
    <row r="441" spans="1:26" ht="19.5" customHeight="1">
      <c r="A441" s="28"/>
      <c r="B441" s="28"/>
      <c r="C441" s="28"/>
      <c r="D441" s="29"/>
      <c r="E441" s="29"/>
      <c r="F441" s="28"/>
      <c r="G441" s="28"/>
      <c r="H441" s="28"/>
      <c r="I441" s="28"/>
      <c r="J441" s="28"/>
      <c r="K441" s="28"/>
      <c r="L441" s="28"/>
      <c r="M441" s="28"/>
      <c r="N441" s="28"/>
      <c r="O441" s="28"/>
      <c r="P441" s="28"/>
      <c r="Q441" s="28"/>
      <c r="R441" s="28"/>
      <c r="S441" s="28"/>
      <c r="T441" s="28"/>
      <c r="U441" s="7"/>
      <c r="V441" s="28"/>
      <c r="W441" s="28"/>
      <c r="X441" s="2"/>
      <c r="Y441" s="2"/>
      <c r="Z441" s="2"/>
    </row>
    <row r="442" spans="1:26" ht="19.5" customHeight="1">
      <c r="A442" s="28"/>
      <c r="B442" s="28"/>
      <c r="C442" s="28"/>
      <c r="D442" s="29"/>
      <c r="E442" s="29"/>
      <c r="F442" s="28"/>
      <c r="G442" s="28"/>
      <c r="H442" s="28"/>
      <c r="I442" s="28"/>
      <c r="J442" s="28"/>
      <c r="K442" s="28"/>
      <c r="L442" s="28"/>
      <c r="M442" s="28"/>
      <c r="N442" s="28"/>
      <c r="O442" s="28"/>
      <c r="P442" s="28"/>
      <c r="Q442" s="28"/>
      <c r="R442" s="28"/>
      <c r="S442" s="28"/>
      <c r="T442" s="28"/>
      <c r="U442" s="7"/>
      <c r="V442" s="28"/>
      <c r="W442" s="28"/>
      <c r="X442" s="2"/>
      <c r="Y442" s="2"/>
      <c r="Z442" s="2"/>
    </row>
    <row r="443" spans="1:26" ht="19.5" customHeight="1">
      <c r="A443" s="28"/>
      <c r="B443" s="28"/>
      <c r="C443" s="28"/>
      <c r="D443" s="29"/>
      <c r="E443" s="29"/>
      <c r="F443" s="28"/>
      <c r="G443" s="28"/>
      <c r="H443" s="28"/>
      <c r="I443" s="28"/>
      <c r="J443" s="28"/>
      <c r="K443" s="28"/>
      <c r="L443" s="28"/>
      <c r="M443" s="28"/>
      <c r="N443" s="28"/>
      <c r="O443" s="28"/>
      <c r="P443" s="28"/>
      <c r="Q443" s="28"/>
      <c r="R443" s="28"/>
      <c r="S443" s="28"/>
      <c r="T443" s="28"/>
      <c r="U443" s="7"/>
      <c r="V443" s="28"/>
      <c r="W443" s="28"/>
      <c r="X443" s="2"/>
      <c r="Y443" s="2"/>
      <c r="Z443" s="2"/>
    </row>
    <row r="444" spans="1:26" ht="19.5" customHeight="1">
      <c r="A444" s="28"/>
      <c r="B444" s="28"/>
      <c r="C444" s="28"/>
      <c r="D444" s="29"/>
      <c r="E444" s="29"/>
      <c r="F444" s="28"/>
      <c r="G444" s="28"/>
      <c r="H444" s="28"/>
      <c r="I444" s="28"/>
      <c r="J444" s="28"/>
      <c r="K444" s="28"/>
      <c r="L444" s="28"/>
      <c r="M444" s="28"/>
      <c r="N444" s="28"/>
      <c r="O444" s="28"/>
      <c r="P444" s="28"/>
      <c r="Q444" s="28"/>
      <c r="R444" s="28"/>
      <c r="S444" s="28"/>
      <c r="T444" s="28"/>
      <c r="U444" s="7"/>
      <c r="V444" s="28"/>
      <c r="W444" s="28"/>
      <c r="X444" s="2"/>
      <c r="Y444" s="2"/>
      <c r="Z444" s="2"/>
    </row>
    <row r="445" spans="1:26" ht="19.5" customHeight="1">
      <c r="A445" s="28"/>
      <c r="B445" s="28"/>
      <c r="C445" s="28"/>
      <c r="D445" s="29"/>
      <c r="E445" s="29"/>
      <c r="F445" s="28"/>
      <c r="G445" s="28"/>
      <c r="H445" s="28"/>
      <c r="I445" s="28"/>
      <c r="J445" s="28"/>
      <c r="K445" s="28"/>
      <c r="L445" s="28"/>
      <c r="M445" s="28"/>
      <c r="N445" s="28"/>
      <c r="O445" s="28"/>
      <c r="P445" s="28"/>
      <c r="Q445" s="28"/>
      <c r="R445" s="28"/>
      <c r="S445" s="28"/>
      <c r="T445" s="28"/>
      <c r="U445" s="7"/>
      <c r="V445" s="28"/>
      <c r="W445" s="28"/>
      <c r="X445" s="2"/>
      <c r="Y445" s="2"/>
      <c r="Z445" s="2"/>
    </row>
    <row r="446" spans="1:26" ht="19.5" customHeight="1">
      <c r="A446" s="28"/>
      <c r="B446" s="28"/>
      <c r="C446" s="28"/>
      <c r="D446" s="29"/>
      <c r="E446" s="29"/>
      <c r="F446" s="28"/>
      <c r="G446" s="28"/>
      <c r="H446" s="28"/>
      <c r="I446" s="28"/>
      <c r="J446" s="28"/>
      <c r="K446" s="28"/>
      <c r="L446" s="28"/>
      <c r="M446" s="28"/>
      <c r="N446" s="28"/>
      <c r="O446" s="28"/>
      <c r="P446" s="28"/>
      <c r="Q446" s="28"/>
      <c r="R446" s="28"/>
      <c r="S446" s="28"/>
      <c r="T446" s="28"/>
      <c r="U446" s="7"/>
      <c r="V446" s="28"/>
      <c r="W446" s="28"/>
      <c r="X446" s="2"/>
      <c r="Y446" s="2"/>
      <c r="Z446" s="2"/>
    </row>
    <row r="447" spans="1:26" ht="19.5" customHeight="1">
      <c r="A447" s="28"/>
      <c r="B447" s="28"/>
      <c r="C447" s="28"/>
      <c r="D447" s="29"/>
      <c r="E447" s="29"/>
      <c r="F447" s="28"/>
      <c r="G447" s="28"/>
      <c r="H447" s="28"/>
      <c r="I447" s="28"/>
      <c r="J447" s="28"/>
      <c r="K447" s="28"/>
      <c r="L447" s="28"/>
      <c r="M447" s="28"/>
      <c r="N447" s="28"/>
      <c r="O447" s="28"/>
      <c r="P447" s="28"/>
      <c r="Q447" s="28"/>
      <c r="R447" s="28"/>
      <c r="S447" s="28"/>
      <c r="T447" s="28"/>
      <c r="U447" s="7"/>
      <c r="V447" s="28"/>
      <c r="W447" s="28"/>
      <c r="X447" s="2"/>
      <c r="Y447" s="2"/>
      <c r="Z447" s="2"/>
    </row>
    <row r="448" spans="1:26" ht="19.5" customHeight="1">
      <c r="A448" s="28"/>
      <c r="B448" s="28"/>
      <c r="C448" s="28"/>
      <c r="D448" s="29"/>
      <c r="E448" s="29"/>
      <c r="F448" s="28"/>
      <c r="G448" s="28"/>
      <c r="H448" s="28"/>
      <c r="I448" s="28"/>
      <c r="J448" s="28"/>
      <c r="K448" s="28"/>
      <c r="L448" s="28"/>
      <c r="M448" s="28"/>
      <c r="N448" s="28"/>
      <c r="O448" s="28"/>
      <c r="P448" s="28"/>
      <c r="Q448" s="28"/>
      <c r="R448" s="28"/>
      <c r="S448" s="28"/>
      <c r="T448" s="28"/>
      <c r="U448" s="7"/>
      <c r="V448" s="28"/>
      <c r="W448" s="28"/>
      <c r="X448" s="2"/>
      <c r="Y448" s="2"/>
      <c r="Z448" s="2"/>
    </row>
    <row r="449" spans="1:26" ht="19.5" customHeight="1">
      <c r="A449" s="28"/>
      <c r="B449" s="28"/>
      <c r="C449" s="28"/>
      <c r="D449" s="29"/>
      <c r="E449" s="29"/>
      <c r="F449" s="28"/>
      <c r="G449" s="28"/>
      <c r="H449" s="28"/>
      <c r="I449" s="28"/>
      <c r="J449" s="28"/>
      <c r="K449" s="28"/>
      <c r="L449" s="28"/>
      <c r="M449" s="28"/>
      <c r="N449" s="28"/>
      <c r="O449" s="28"/>
      <c r="P449" s="28"/>
      <c r="Q449" s="28"/>
      <c r="R449" s="28"/>
      <c r="S449" s="28"/>
      <c r="T449" s="28"/>
      <c r="U449" s="7"/>
      <c r="V449" s="28"/>
      <c r="W449" s="28"/>
      <c r="X449" s="2"/>
      <c r="Y449" s="2"/>
      <c r="Z449" s="2"/>
    </row>
    <row r="450" spans="1:26" ht="19.5" customHeight="1">
      <c r="A450" s="28"/>
      <c r="B450" s="28"/>
      <c r="C450" s="28"/>
      <c r="D450" s="29"/>
      <c r="E450" s="29"/>
      <c r="F450" s="28"/>
      <c r="G450" s="28"/>
      <c r="H450" s="28"/>
      <c r="I450" s="28"/>
      <c r="J450" s="28"/>
      <c r="K450" s="28"/>
      <c r="L450" s="28"/>
      <c r="M450" s="28"/>
      <c r="N450" s="28"/>
      <c r="O450" s="28"/>
      <c r="P450" s="28"/>
      <c r="Q450" s="28"/>
      <c r="R450" s="28"/>
      <c r="S450" s="28"/>
      <c r="T450" s="28"/>
      <c r="U450" s="7"/>
      <c r="V450" s="28"/>
      <c r="W450" s="28"/>
      <c r="X450" s="2"/>
      <c r="Y450" s="2"/>
      <c r="Z450" s="2"/>
    </row>
    <row r="451" spans="1:26" ht="19.5" customHeight="1">
      <c r="A451" s="28"/>
      <c r="B451" s="28"/>
      <c r="C451" s="28"/>
      <c r="D451" s="29"/>
      <c r="E451" s="29"/>
      <c r="F451" s="28"/>
      <c r="G451" s="28"/>
      <c r="H451" s="28"/>
      <c r="I451" s="28"/>
      <c r="J451" s="28"/>
      <c r="K451" s="28"/>
      <c r="L451" s="28"/>
      <c r="M451" s="28"/>
      <c r="N451" s="28"/>
      <c r="O451" s="28"/>
      <c r="P451" s="28"/>
      <c r="Q451" s="28"/>
      <c r="R451" s="28"/>
      <c r="S451" s="28"/>
      <c r="T451" s="28"/>
      <c r="U451" s="7"/>
      <c r="V451" s="28"/>
      <c r="W451" s="28"/>
      <c r="X451" s="2"/>
      <c r="Y451" s="2"/>
      <c r="Z451" s="2"/>
    </row>
    <row r="452" spans="1:26" ht="19.5" customHeight="1">
      <c r="A452" s="28"/>
      <c r="B452" s="28"/>
      <c r="C452" s="28"/>
      <c r="D452" s="29"/>
      <c r="E452" s="29"/>
      <c r="F452" s="28"/>
      <c r="G452" s="28"/>
      <c r="H452" s="28"/>
      <c r="I452" s="28"/>
      <c r="J452" s="28"/>
      <c r="K452" s="28"/>
      <c r="L452" s="28"/>
      <c r="M452" s="28"/>
      <c r="N452" s="28"/>
      <c r="O452" s="28"/>
      <c r="P452" s="28"/>
      <c r="Q452" s="28"/>
      <c r="R452" s="28"/>
      <c r="S452" s="28"/>
      <c r="T452" s="28"/>
      <c r="U452" s="7"/>
      <c r="V452" s="28"/>
      <c r="W452" s="28"/>
      <c r="X452" s="2"/>
      <c r="Y452" s="2"/>
      <c r="Z452" s="2"/>
    </row>
    <row r="453" spans="1:26" ht="19.5" customHeight="1">
      <c r="A453" s="28"/>
      <c r="B453" s="28"/>
      <c r="C453" s="28"/>
      <c r="D453" s="29"/>
      <c r="E453" s="29"/>
      <c r="F453" s="28"/>
      <c r="G453" s="28"/>
      <c r="H453" s="28"/>
      <c r="I453" s="28"/>
      <c r="J453" s="28"/>
      <c r="K453" s="28"/>
      <c r="L453" s="28"/>
      <c r="M453" s="28"/>
      <c r="N453" s="28"/>
      <c r="O453" s="28"/>
      <c r="P453" s="28"/>
      <c r="Q453" s="28"/>
      <c r="R453" s="28"/>
      <c r="S453" s="28"/>
      <c r="T453" s="28"/>
      <c r="U453" s="7"/>
      <c r="V453" s="28"/>
      <c r="W453" s="28"/>
      <c r="X453" s="2"/>
      <c r="Y453" s="2"/>
      <c r="Z453" s="2"/>
    </row>
    <row r="454" spans="1:26" ht="19.5" customHeight="1">
      <c r="A454" s="28"/>
      <c r="B454" s="28"/>
      <c r="C454" s="28"/>
      <c r="D454" s="29"/>
      <c r="E454" s="29"/>
      <c r="F454" s="28"/>
      <c r="G454" s="28"/>
      <c r="H454" s="28"/>
      <c r="I454" s="28"/>
      <c r="J454" s="28"/>
      <c r="K454" s="28"/>
      <c r="L454" s="28"/>
      <c r="M454" s="28"/>
      <c r="N454" s="28"/>
      <c r="O454" s="28"/>
      <c r="P454" s="28"/>
      <c r="Q454" s="28"/>
      <c r="R454" s="28"/>
      <c r="S454" s="28"/>
      <c r="T454" s="28"/>
      <c r="U454" s="7"/>
      <c r="V454" s="28"/>
      <c r="W454" s="28"/>
      <c r="X454" s="2"/>
      <c r="Y454" s="2"/>
      <c r="Z454" s="2"/>
    </row>
    <row r="455" spans="1:26" ht="19.5" customHeight="1">
      <c r="A455" s="28"/>
      <c r="B455" s="28"/>
      <c r="C455" s="28"/>
      <c r="D455" s="29"/>
      <c r="E455" s="29"/>
      <c r="F455" s="28"/>
      <c r="G455" s="28"/>
      <c r="H455" s="28"/>
      <c r="I455" s="28"/>
      <c r="J455" s="28"/>
      <c r="K455" s="28"/>
      <c r="L455" s="28"/>
      <c r="M455" s="28"/>
      <c r="N455" s="28"/>
      <c r="O455" s="28"/>
      <c r="P455" s="28"/>
      <c r="Q455" s="28"/>
      <c r="R455" s="28"/>
      <c r="S455" s="28"/>
      <c r="T455" s="28"/>
      <c r="U455" s="7"/>
      <c r="V455" s="28"/>
      <c r="W455" s="28"/>
      <c r="X455" s="2"/>
      <c r="Y455" s="2"/>
      <c r="Z455" s="2"/>
    </row>
    <row r="456" spans="1:26" ht="19.5" customHeight="1">
      <c r="A456" s="28"/>
      <c r="B456" s="28"/>
      <c r="C456" s="28"/>
      <c r="D456" s="29"/>
      <c r="E456" s="29"/>
      <c r="F456" s="28"/>
      <c r="G456" s="28"/>
      <c r="H456" s="28"/>
      <c r="I456" s="28"/>
      <c r="J456" s="28"/>
      <c r="K456" s="28"/>
      <c r="L456" s="28"/>
      <c r="M456" s="28"/>
      <c r="N456" s="28"/>
      <c r="O456" s="28"/>
      <c r="P456" s="28"/>
      <c r="Q456" s="28"/>
      <c r="R456" s="28"/>
      <c r="S456" s="28"/>
      <c r="T456" s="28"/>
      <c r="U456" s="7"/>
      <c r="V456" s="28"/>
      <c r="W456" s="28"/>
      <c r="X456" s="2"/>
      <c r="Y456" s="2"/>
      <c r="Z456" s="2"/>
    </row>
    <row r="457" spans="1:26" ht="19.5" customHeight="1">
      <c r="A457" s="28"/>
      <c r="B457" s="28"/>
      <c r="C457" s="28"/>
      <c r="D457" s="29"/>
      <c r="E457" s="29"/>
      <c r="F457" s="28"/>
      <c r="G457" s="28"/>
      <c r="H457" s="28"/>
      <c r="I457" s="28"/>
      <c r="J457" s="28"/>
      <c r="K457" s="28"/>
      <c r="L457" s="28"/>
      <c r="M457" s="28"/>
      <c r="N457" s="28"/>
      <c r="O457" s="28"/>
      <c r="P457" s="28"/>
      <c r="Q457" s="28"/>
      <c r="R457" s="28"/>
      <c r="S457" s="28"/>
      <c r="T457" s="28"/>
      <c r="U457" s="7"/>
      <c r="V457" s="28"/>
      <c r="W457" s="28"/>
      <c r="X457" s="2"/>
      <c r="Y457" s="2"/>
      <c r="Z457" s="2"/>
    </row>
    <row r="458" spans="1:26" ht="19.5" customHeight="1">
      <c r="A458" s="28"/>
      <c r="B458" s="28"/>
      <c r="C458" s="28"/>
      <c r="D458" s="29"/>
      <c r="E458" s="29"/>
      <c r="F458" s="28"/>
      <c r="G458" s="28"/>
      <c r="H458" s="28"/>
      <c r="I458" s="28"/>
      <c r="J458" s="28"/>
      <c r="K458" s="28"/>
      <c r="L458" s="28"/>
      <c r="M458" s="28"/>
      <c r="N458" s="28"/>
      <c r="O458" s="28"/>
      <c r="P458" s="28"/>
      <c r="Q458" s="28"/>
      <c r="R458" s="28"/>
      <c r="S458" s="28"/>
      <c r="T458" s="28"/>
      <c r="U458" s="7"/>
      <c r="V458" s="28"/>
      <c r="W458" s="28"/>
      <c r="X458" s="2"/>
      <c r="Y458" s="2"/>
      <c r="Z458" s="2"/>
    </row>
    <row r="459" spans="1:26" ht="19.5" customHeight="1">
      <c r="A459" s="28"/>
      <c r="B459" s="28"/>
      <c r="C459" s="28"/>
      <c r="D459" s="29"/>
      <c r="E459" s="29"/>
      <c r="F459" s="28"/>
      <c r="G459" s="28"/>
      <c r="H459" s="28"/>
      <c r="I459" s="28"/>
      <c r="J459" s="28"/>
      <c r="K459" s="28"/>
      <c r="L459" s="28"/>
      <c r="M459" s="28"/>
      <c r="N459" s="28"/>
      <c r="O459" s="28"/>
      <c r="P459" s="28"/>
      <c r="Q459" s="28"/>
      <c r="R459" s="28"/>
      <c r="S459" s="28"/>
      <c r="T459" s="28"/>
      <c r="U459" s="7"/>
      <c r="V459" s="28"/>
      <c r="W459" s="28"/>
      <c r="X459" s="2"/>
      <c r="Y459" s="2"/>
      <c r="Z459" s="2"/>
    </row>
    <row r="460" spans="1:26" ht="19.5" customHeight="1">
      <c r="A460" s="28"/>
      <c r="B460" s="28"/>
      <c r="C460" s="28"/>
      <c r="D460" s="29"/>
      <c r="E460" s="29"/>
      <c r="F460" s="28"/>
      <c r="G460" s="28"/>
      <c r="H460" s="28"/>
      <c r="I460" s="28"/>
      <c r="J460" s="28"/>
      <c r="K460" s="28"/>
      <c r="L460" s="28"/>
      <c r="M460" s="28"/>
      <c r="N460" s="28"/>
      <c r="O460" s="28"/>
      <c r="P460" s="28"/>
      <c r="Q460" s="28"/>
      <c r="R460" s="28"/>
      <c r="S460" s="28"/>
      <c r="T460" s="28"/>
      <c r="U460" s="7"/>
      <c r="V460" s="28"/>
      <c r="W460" s="28"/>
      <c r="X460" s="2"/>
      <c r="Y460" s="2"/>
      <c r="Z460" s="2"/>
    </row>
    <row r="461" spans="1:26" ht="19.5" customHeight="1">
      <c r="A461" s="28"/>
      <c r="B461" s="28"/>
      <c r="C461" s="28"/>
      <c r="D461" s="29"/>
      <c r="E461" s="29"/>
      <c r="F461" s="28"/>
      <c r="G461" s="28"/>
      <c r="H461" s="28"/>
      <c r="I461" s="28"/>
      <c r="J461" s="28"/>
      <c r="K461" s="28"/>
      <c r="L461" s="28"/>
      <c r="M461" s="28"/>
      <c r="N461" s="28"/>
      <c r="O461" s="28"/>
      <c r="P461" s="28"/>
      <c r="Q461" s="28"/>
      <c r="R461" s="28"/>
      <c r="S461" s="28"/>
      <c r="T461" s="28"/>
      <c r="U461" s="7"/>
      <c r="V461" s="28"/>
      <c r="W461" s="28"/>
      <c r="X461" s="2"/>
      <c r="Y461" s="2"/>
      <c r="Z461" s="2"/>
    </row>
    <row r="462" spans="1:26" ht="19.5" customHeight="1">
      <c r="A462" s="28"/>
      <c r="B462" s="28"/>
      <c r="C462" s="28"/>
      <c r="D462" s="29"/>
      <c r="E462" s="29"/>
      <c r="F462" s="28"/>
      <c r="G462" s="28"/>
      <c r="H462" s="28"/>
      <c r="I462" s="28"/>
      <c r="J462" s="28"/>
      <c r="K462" s="28"/>
      <c r="L462" s="28"/>
      <c r="M462" s="28"/>
      <c r="N462" s="28"/>
      <c r="O462" s="28"/>
      <c r="P462" s="28"/>
      <c r="Q462" s="28"/>
      <c r="R462" s="28"/>
      <c r="S462" s="28"/>
      <c r="T462" s="28"/>
      <c r="U462" s="7"/>
      <c r="V462" s="28"/>
      <c r="W462" s="28"/>
      <c r="X462" s="2"/>
      <c r="Y462" s="2"/>
      <c r="Z462" s="2"/>
    </row>
    <row r="463" spans="1:26" ht="19.5" customHeight="1">
      <c r="A463" s="28"/>
      <c r="B463" s="28"/>
      <c r="C463" s="28"/>
      <c r="D463" s="29"/>
      <c r="E463" s="29"/>
      <c r="F463" s="28"/>
      <c r="G463" s="28"/>
      <c r="H463" s="28"/>
      <c r="I463" s="28"/>
      <c r="J463" s="28"/>
      <c r="K463" s="28"/>
      <c r="L463" s="28"/>
      <c r="M463" s="28"/>
      <c r="N463" s="28"/>
      <c r="O463" s="28"/>
      <c r="P463" s="28"/>
      <c r="Q463" s="28"/>
      <c r="R463" s="28"/>
      <c r="S463" s="28"/>
      <c r="T463" s="28"/>
      <c r="U463" s="7"/>
      <c r="V463" s="28"/>
      <c r="W463" s="28"/>
      <c r="X463" s="2"/>
      <c r="Y463" s="2"/>
      <c r="Z463" s="2"/>
    </row>
    <row r="464" spans="1:26" ht="19.5" customHeight="1">
      <c r="A464" s="28"/>
      <c r="B464" s="28"/>
      <c r="C464" s="28"/>
      <c r="D464" s="29"/>
      <c r="E464" s="29"/>
      <c r="F464" s="28"/>
      <c r="G464" s="28"/>
      <c r="H464" s="28"/>
      <c r="I464" s="28"/>
      <c r="J464" s="28"/>
      <c r="K464" s="28"/>
      <c r="L464" s="28"/>
      <c r="M464" s="28"/>
      <c r="N464" s="28"/>
      <c r="O464" s="28"/>
      <c r="P464" s="28"/>
      <c r="Q464" s="28"/>
      <c r="R464" s="28"/>
      <c r="S464" s="28"/>
      <c r="T464" s="28"/>
      <c r="U464" s="7"/>
      <c r="V464" s="28"/>
      <c r="W464" s="28"/>
      <c r="X464" s="2"/>
      <c r="Y464" s="2"/>
      <c r="Z464" s="2"/>
    </row>
    <row r="465" spans="1:26" ht="19.5" customHeight="1">
      <c r="A465" s="28"/>
      <c r="B465" s="28"/>
      <c r="C465" s="28"/>
      <c r="D465" s="29"/>
      <c r="E465" s="29"/>
      <c r="F465" s="28"/>
      <c r="G465" s="28"/>
      <c r="H465" s="28"/>
      <c r="I465" s="28"/>
      <c r="J465" s="28"/>
      <c r="K465" s="28"/>
      <c r="L465" s="28"/>
      <c r="M465" s="28"/>
      <c r="N465" s="28"/>
      <c r="O465" s="28"/>
      <c r="P465" s="28"/>
      <c r="Q465" s="28"/>
      <c r="R465" s="28"/>
      <c r="S465" s="28"/>
      <c r="T465" s="28"/>
      <c r="U465" s="7"/>
      <c r="V465" s="28"/>
      <c r="W465" s="28"/>
      <c r="X465" s="2"/>
      <c r="Y465" s="2"/>
      <c r="Z465" s="2"/>
    </row>
    <row r="466" spans="1:26" ht="19.5" customHeight="1">
      <c r="A466" s="28"/>
      <c r="B466" s="28"/>
      <c r="C466" s="28"/>
      <c r="D466" s="29"/>
      <c r="E466" s="29"/>
      <c r="F466" s="28"/>
      <c r="G466" s="28"/>
      <c r="H466" s="28"/>
      <c r="I466" s="28"/>
      <c r="J466" s="28"/>
      <c r="K466" s="28"/>
      <c r="L466" s="28"/>
      <c r="M466" s="28"/>
      <c r="N466" s="28"/>
      <c r="O466" s="28"/>
      <c r="P466" s="28"/>
      <c r="Q466" s="28"/>
      <c r="R466" s="28"/>
      <c r="S466" s="28"/>
      <c r="T466" s="28"/>
      <c r="U466" s="7"/>
      <c r="V466" s="28"/>
      <c r="W466" s="28"/>
      <c r="X466" s="2"/>
      <c r="Y466" s="2"/>
      <c r="Z466" s="2"/>
    </row>
    <row r="467" spans="1:26" ht="19.5" customHeight="1">
      <c r="A467" s="28"/>
      <c r="B467" s="28"/>
      <c r="C467" s="28"/>
      <c r="D467" s="29"/>
      <c r="E467" s="29"/>
      <c r="F467" s="28"/>
      <c r="G467" s="28"/>
      <c r="H467" s="28"/>
      <c r="I467" s="28"/>
      <c r="J467" s="28"/>
      <c r="K467" s="28"/>
      <c r="L467" s="28"/>
      <c r="M467" s="28"/>
      <c r="N467" s="28"/>
      <c r="O467" s="28"/>
      <c r="P467" s="28"/>
      <c r="Q467" s="28"/>
      <c r="R467" s="28"/>
      <c r="S467" s="28"/>
      <c r="T467" s="28"/>
      <c r="U467" s="7"/>
      <c r="V467" s="28"/>
      <c r="W467" s="28"/>
      <c r="X467" s="2"/>
      <c r="Y467" s="2"/>
      <c r="Z467" s="2"/>
    </row>
    <row r="468" spans="1:26" ht="19.5" customHeight="1">
      <c r="A468" s="28"/>
      <c r="B468" s="28"/>
      <c r="C468" s="28"/>
      <c r="D468" s="29"/>
      <c r="E468" s="29"/>
      <c r="F468" s="28"/>
      <c r="G468" s="28"/>
      <c r="H468" s="28"/>
      <c r="I468" s="28"/>
      <c r="J468" s="28"/>
      <c r="K468" s="28"/>
      <c r="L468" s="28"/>
      <c r="M468" s="28"/>
      <c r="N468" s="28"/>
      <c r="O468" s="28"/>
      <c r="P468" s="28"/>
      <c r="Q468" s="28"/>
      <c r="R468" s="28"/>
      <c r="S468" s="28"/>
      <c r="T468" s="28"/>
      <c r="U468" s="7"/>
      <c r="V468" s="28"/>
      <c r="W468" s="28"/>
      <c r="X468" s="2"/>
      <c r="Y468" s="2"/>
      <c r="Z468" s="2"/>
    </row>
    <row r="469" spans="1:26" ht="19.5" customHeight="1">
      <c r="A469" s="28"/>
      <c r="B469" s="28"/>
      <c r="C469" s="28"/>
      <c r="D469" s="29"/>
      <c r="E469" s="29"/>
      <c r="F469" s="28"/>
      <c r="G469" s="28"/>
      <c r="H469" s="28"/>
      <c r="I469" s="28"/>
      <c r="J469" s="28"/>
      <c r="K469" s="28"/>
      <c r="L469" s="28"/>
      <c r="M469" s="28"/>
      <c r="N469" s="28"/>
      <c r="O469" s="28"/>
      <c r="P469" s="28"/>
      <c r="Q469" s="28"/>
      <c r="R469" s="28"/>
      <c r="S469" s="28"/>
      <c r="T469" s="28"/>
      <c r="U469" s="7"/>
      <c r="V469" s="28"/>
      <c r="W469" s="28"/>
      <c r="X469" s="2"/>
      <c r="Y469" s="2"/>
      <c r="Z469" s="2"/>
    </row>
    <row r="470" spans="1:26" ht="19.5" customHeight="1">
      <c r="A470" s="28"/>
      <c r="B470" s="28"/>
      <c r="C470" s="28"/>
      <c r="D470" s="29"/>
      <c r="E470" s="29"/>
      <c r="F470" s="28"/>
      <c r="G470" s="28"/>
      <c r="H470" s="28"/>
      <c r="I470" s="28"/>
      <c r="J470" s="28"/>
      <c r="K470" s="28"/>
      <c r="L470" s="28"/>
      <c r="M470" s="28"/>
      <c r="N470" s="28"/>
      <c r="O470" s="28"/>
      <c r="P470" s="28"/>
      <c r="Q470" s="28"/>
      <c r="R470" s="28"/>
      <c r="S470" s="28"/>
      <c r="T470" s="28"/>
      <c r="U470" s="7"/>
      <c r="V470" s="28"/>
      <c r="W470" s="28"/>
      <c r="X470" s="2"/>
      <c r="Y470" s="2"/>
      <c r="Z470" s="2"/>
    </row>
    <row r="471" spans="1:26" ht="19.5" customHeight="1">
      <c r="A471" s="28"/>
      <c r="B471" s="28"/>
      <c r="C471" s="28"/>
      <c r="D471" s="29"/>
      <c r="E471" s="29"/>
      <c r="F471" s="28"/>
      <c r="G471" s="28"/>
      <c r="H471" s="28"/>
      <c r="I471" s="28"/>
      <c r="J471" s="28"/>
      <c r="K471" s="28"/>
      <c r="L471" s="28"/>
      <c r="M471" s="28"/>
      <c r="N471" s="28"/>
      <c r="O471" s="28"/>
      <c r="P471" s="28"/>
      <c r="Q471" s="28"/>
      <c r="R471" s="28"/>
      <c r="S471" s="28"/>
      <c r="T471" s="28"/>
      <c r="U471" s="7"/>
      <c r="V471" s="28"/>
      <c r="W471" s="28"/>
      <c r="X471" s="2"/>
      <c r="Y471" s="2"/>
      <c r="Z471" s="2"/>
    </row>
    <row r="472" spans="1:26" ht="19.5" customHeight="1">
      <c r="A472" s="28"/>
      <c r="B472" s="28"/>
      <c r="C472" s="28"/>
      <c r="D472" s="29"/>
      <c r="E472" s="29"/>
      <c r="F472" s="28"/>
      <c r="G472" s="28"/>
      <c r="H472" s="28"/>
      <c r="I472" s="28"/>
      <c r="J472" s="28"/>
      <c r="K472" s="28"/>
      <c r="L472" s="28"/>
      <c r="M472" s="28"/>
      <c r="N472" s="28"/>
      <c r="O472" s="28"/>
      <c r="P472" s="28"/>
      <c r="Q472" s="28"/>
      <c r="R472" s="28"/>
      <c r="S472" s="28"/>
      <c r="T472" s="28"/>
      <c r="U472" s="7"/>
      <c r="V472" s="28"/>
      <c r="W472" s="28"/>
      <c r="X472" s="2"/>
      <c r="Y472" s="2"/>
      <c r="Z472" s="2"/>
    </row>
    <row r="473" spans="1:26" ht="19.5" customHeight="1">
      <c r="A473" s="28"/>
      <c r="B473" s="28"/>
      <c r="C473" s="28"/>
      <c r="D473" s="29"/>
      <c r="E473" s="29"/>
      <c r="F473" s="28"/>
      <c r="G473" s="28"/>
      <c r="H473" s="28"/>
      <c r="I473" s="28"/>
      <c r="J473" s="28"/>
      <c r="K473" s="28"/>
      <c r="L473" s="28"/>
      <c r="M473" s="28"/>
      <c r="N473" s="28"/>
      <c r="O473" s="28"/>
      <c r="P473" s="28"/>
      <c r="Q473" s="28"/>
      <c r="R473" s="28"/>
      <c r="S473" s="28"/>
      <c r="T473" s="28"/>
      <c r="U473" s="7"/>
      <c r="V473" s="28"/>
      <c r="W473" s="28"/>
      <c r="X473" s="2"/>
      <c r="Y473" s="2"/>
      <c r="Z473" s="2"/>
    </row>
    <row r="474" spans="1:26" ht="19.5" customHeight="1">
      <c r="A474" s="28"/>
      <c r="B474" s="28"/>
      <c r="C474" s="28"/>
      <c r="D474" s="29"/>
      <c r="E474" s="29"/>
      <c r="F474" s="28"/>
      <c r="G474" s="28"/>
      <c r="H474" s="28"/>
      <c r="I474" s="28"/>
      <c r="J474" s="28"/>
      <c r="K474" s="28"/>
      <c r="L474" s="28"/>
      <c r="M474" s="28"/>
      <c r="N474" s="28"/>
      <c r="O474" s="28"/>
      <c r="P474" s="28"/>
      <c r="Q474" s="28"/>
      <c r="R474" s="28"/>
      <c r="S474" s="28"/>
      <c r="T474" s="28"/>
      <c r="U474" s="7"/>
      <c r="V474" s="28"/>
      <c r="W474" s="28"/>
      <c r="X474" s="2"/>
      <c r="Y474" s="2"/>
      <c r="Z474" s="2"/>
    </row>
    <row r="475" spans="1:26" ht="19.5" customHeight="1">
      <c r="A475" s="28"/>
      <c r="B475" s="28"/>
      <c r="C475" s="28"/>
      <c r="D475" s="29"/>
      <c r="E475" s="29"/>
      <c r="F475" s="28"/>
      <c r="G475" s="28"/>
      <c r="H475" s="28"/>
      <c r="I475" s="28"/>
      <c r="J475" s="28"/>
      <c r="K475" s="28"/>
      <c r="L475" s="28"/>
      <c r="M475" s="28"/>
      <c r="N475" s="28"/>
      <c r="O475" s="28"/>
      <c r="P475" s="28"/>
      <c r="Q475" s="28"/>
      <c r="R475" s="28"/>
      <c r="S475" s="28"/>
      <c r="T475" s="28"/>
      <c r="U475" s="7"/>
      <c r="V475" s="28"/>
      <c r="W475" s="28"/>
      <c r="X475" s="2"/>
      <c r="Y475" s="2"/>
      <c r="Z475" s="2"/>
    </row>
    <row r="476" spans="1:26" ht="19.5" customHeight="1">
      <c r="A476" s="28"/>
      <c r="B476" s="28"/>
      <c r="C476" s="28"/>
      <c r="D476" s="29"/>
      <c r="E476" s="29"/>
      <c r="F476" s="28"/>
      <c r="G476" s="28"/>
      <c r="H476" s="28"/>
      <c r="I476" s="28"/>
      <c r="J476" s="28"/>
      <c r="K476" s="28"/>
      <c r="L476" s="28"/>
      <c r="M476" s="28"/>
      <c r="N476" s="28"/>
      <c r="O476" s="28"/>
      <c r="P476" s="28"/>
      <c r="Q476" s="28"/>
      <c r="R476" s="28"/>
      <c r="S476" s="28"/>
      <c r="T476" s="28"/>
      <c r="U476" s="7"/>
      <c r="V476" s="28"/>
      <c r="W476" s="28"/>
      <c r="X476" s="2"/>
      <c r="Y476" s="2"/>
      <c r="Z476" s="2"/>
    </row>
    <row r="477" spans="1:26" ht="19.5" customHeight="1">
      <c r="A477" s="28"/>
      <c r="B477" s="28"/>
      <c r="C477" s="28"/>
      <c r="D477" s="29"/>
      <c r="E477" s="29"/>
      <c r="F477" s="28"/>
      <c r="G477" s="28"/>
      <c r="H477" s="28"/>
      <c r="I477" s="28"/>
      <c r="J477" s="28"/>
      <c r="K477" s="28"/>
      <c r="L477" s="28"/>
      <c r="M477" s="28"/>
      <c r="N477" s="28"/>
      <c r="O477" s="28"/>
      <c r="P477" s="28"/>
      <c r="Q477" s="28"/>
      <c r="R477" s="28"/>
      <c r="S477" s="28"/>
      <c r="T477" s="28"/>
      <c r="U477" s="7"/>
      <c r="V477" s="28"/>
      <c r="W477" s="28"/>
      <c r="X477" s="2"/>
      <c r="Y477" s="2"/>
      <c r="Z477" s="2"/>
    </row>
    <row r="478" spans="1:26" ht="19.5" customHeight="1">
      <c r="A478" s="28"/>
      <c r="B478" s="28"/>
      <c r="C478" s="28"/>
      <c r="D478" s="29"/>
      <c r="E478" s="29"/>
      <c r="F478" s="28"/>
      <c r="G478" s="28"/>
      <c r="H478" s="28"/>
      <c r="I478" s="28"/>
      <c r="J478" s="28"/>
      <c r="K478" s="28"/>
      <c r="L478" s="28"/>
      <c r="M478" s="28"/>
      <c r="N478" s="28"/>
      <c r="O478" s="28"/>
      <c r="P478" s="28"/>
      <c r="Q478" s="28"/>
      <c r="R478" s="28"/>
      <c r="S478" s="28"/>
      <c r="T478" s="28"/>
      <c r="U478" s="7"/>
      <c r="V478" s="28"/>
      <c r="W478" s="28"/>
      <c r="X478" s="2"/>
      <c r="Y478" s="2"/>
      <c r="Z478" s="2"/>
    </row>
    <row r="479" spans="1:26" ht="19.5" customHeight="1">
      <c r="A479" s="28"/>
      <c r="B479" s="28"/>
      <c r="C479" s="28"/>
      <c r="D479" s="29"/>
      <c r="E479" s="29"/>
      <c r="F479" s="28"/>
      <c r="G479" s="28"/>
      <c r="H479" s="28"/>
      <c r="I479" s="28"/>
      <c r="J479" s="28"/>
      <c r="K479" s="28"/>
      <c r="L479" s="28"/>
      <c r="M479" s="28"/>
      <c r="N479" s="28"/>
      <c r="O479" s="28"/>
      <c r="P479" s="28"/>
      <c r="Q479" s="28"/>
      <c r="R479" s="28"/>
      <c r="S479" s="28"/>
      <c r="T479" s="28"/>
      <c r="U479" s="7"/>
      <c r="V479" s="28"/>
      <c r="W479" s="28"/>
      <c r="X479" s="2"/>
      <c r="Y479" s="2"/>
      <c r="Z479" s="2"/>
    </row>
    <row r="480" spans="1:26" ht="19.5" customHeight="1">
      <c r="A480" s="28"/>
      <c r="B480" s="28"/>
      <c r="C480" s="28"/>
      <c r="D480" s="29"/>
      <c r="E480" s="29"/>
      <c r="F480" s="28"/>
      <c r="G480" s="28"/>
      <c r="H480" s="28"/>
      <c r="I480" s="28"/>
      <c r="J480" s="28"/>
      <c r="K480" s="28"/>
      <c r="L480" s="28"/>
      <c r="M480" s="28"/>
      <c r="N480" s="28"/>
      <c r="O480" s="28"/>
      <c r="P480" s="28"/>
      <c r="Q480" s="28"/>
      <c r="R480" s="28"/>
      <c r="S480" s="28"/>
      <c r="T480" s="28"/>
      <c r="U480" s="7"/>
      <c r="V480" s="28"/>
      <c r="W480" s="28"/>
      <c r="X480" s="2"/>
      <c r="Y480" s="2"/>
      <c r="Z480" s="2"/>
    </row>
    <row r="481" spans="1:26" ht="19.5" customHeight="1">
      <c r="A481" s="28"/>
      <c r="B481" s="28"/>
      <c r="C481" s="28"/>
      <c r="D481" s="29"/>
      <c r="E481" s="29"/>
      <c r="F481" s="28"/>
      <c r="G481" s="28"/>
      <c r="H481" s="28"/>
      <c r="I481" s="28"/>
      <c r="J481" s="28"/>
      <c r="K481" s="28"/>
      <c r="L481" s="28"/>
      <c r="M481" s="28"/>
      <c r="N481" s="28"/>
      <c r="O481" s="28"/>
      <c r="P481" s="28"/>
      <c r="Q481" s="28"/>
      <c r="R481" s="28"/>
      <c r="S481" s="28"/>
      <c r="T481" s="28"/>
      <c r="U481" s="7"/>
      <c r="V481" s="28"/>
      <c r="W481" s="28"/>
      <c r="X481" s="2"/>
      <c r="Y481" s="2"/>
      <c r="Z481" s="2"/>
    </row>
    <row r="482" spans="1:26" ht="19.5" customHeight="1">
      <c r="A482" s="28"/>
      <c r="B482" s="28"/>
      <c r="C482" s="28"/>
      <c r="D482" s="29"/>
      <c r="E482" s="29"/>
      <c r="F482" s="28"/>
      <c r="G482" s="28"/>
      <c r="H482" s="28"/>
      <c r="I482" s="28"/>
      <c r="J482" s="28"/>
      <c r="K482" s="28"/>
      <c r="L482" s="28"/>
      <c r="M482" s="28"/>
      <c r="N482" s="28"/>
      <c r="O482" s="28"/>
      <c r="P482" s="28"/>
      <c r="Q482" s="28"/>
      <c r="R482" s="28"/>
      <c r="S482" s="28"/>
      <c r="T482" s="28"/>
      <c r="U482" s="7"/>
      <c r="V482" s="28"/>
      <c r="W482" s="28"/>
      <c r="X482" s="2"/>
      <c r="Y482" s="2"/>
      <c r="Z482" s="2"/>
    </row>
    <row r="483" spans="1:26" ht="19.5" customHeight="1">
      <c r="A483" s="28"/>
      <c r="B483" s="28"/>
      <c r="C483" s="28"/>
      <c r="D483" s="29"/>
      <c r="E483" s="29"/>
      <c r="F483" s="28"/>
      <c r="G483" s="28"/>
      <c r="H483" s="28"/>
      <c r="I483" s="28"/>
      <c r="J483" s="28"/>
      <c r="K483" s="28"/>
      <c r="L483" s="28"/>
      <c r="M483" s="28"/>
      <c r="N483" s="28"/>
      <c r="O483" s="28"/>
      <c r="P483" s="28"/>
      <c r="Q483" s="28"/>
      <c r="R483" s="28"/>
      <c r="S483" s="28"/>
      <c r="T483" s="28"/>
      <c r="U483" s="7"/>
      <c r="V483" s="28"/>
      <c r="W483" s="28"/>
      <c r="X483" s="2"/>
      <c r="Y483" s="2"/>
      <c r="Z483" s="2"/>
    </row>
    <row r="484" spans="1:26" ht="19.5" customHeight="1">
      <c r="A484" s="28"/>
      <c r="B484" s="28"/>
      <c r="C484" s="28"/>
      <c r="D484" s="29"/>
      <c r="E484" s="29"/>
      <c r="F484" s="28"/>
      <c r="G484" s="28"/>
      <c r="H484" s="28"/>
      <c r="I484" s="28"/>
      <c r="J484" s="28"/>
      <c r="K484" s="28"/>
      <c r="L484" s="28"/>
      <c r="M484" s="28"/>
      <c r="N484" s="28"/>
      <c r="O484" s="28"/>
      <c r="P484" s="28"/>
      <c r="Q484" s="28"/>
      <c r="R484" s="28"/>
      <c r="S484" s="28"/>
      <c r="T484" s="28"/>
      <c r="U484" s="7"/>
      <c r="V484" s="28"/>
      <c r="W484" s="28"/>
      <c r="X484" s="2"/>
      <c r="Y484" s="2"/>
      <c r="Z484" s="2"/>
    </row>
    <row r="485" spans="1:26" ht="19.5" customHeight="1">
      <c r="A485" s="28"/>
      <c r="B485" s="28"/>
      <c r="C485" s="28"/>
      <c r="D485" s="29"/>
      <c r="E485" s="29"/>
      <c r="F485" s="28"/>
      <c r="G485" s="28"/>
      <c r="H485" s="28"/>
      <c r="I485" s="28"/>
      <c r="J485" s="28"/>
      <c r="K485" s="28"/>
      <c r="L485" s="28"/>
      <c r="M485" s="28"/>
      <c r="N485" s="28"/>
      <c r="O485" s="28"/>
      <c r="P485" s="28"/>
      <c r="Q485" s="28"/>
      <c r="R485" s="28"/>
      <c r="S485" s="28"/>
      <c r="T485" s="28"/>
      <c r="U485" s="7"/>
      <c r="V485" s="28"/>
      <c r="W485" s="28"/>
      <c r="X485" s="2"/>
      <c r="Y485" s="2"/>
      <c r="Z485" s="2"/>
    </row>
    <row r="486" spans="1:26" ht="19.5" customHeight="1">
      <c r="A486" s="28"/>
      <c r="B486" s="28"/>
      <c r="C486" s="28"/>
      <c r="D486" s="29"/>
      <c r="E486" s="29"/>
      <c r="F486" s="28"/>
      <c r="G486" s="28"/>
      <c r="H486" s="28"/>
      <c r="I486" s="28"/>
      <c r="J486" s="28"/>
      <c r="K486" s="28"/>
      <c r="L486" s="28"/>
      <c r="M486" s="28"/>
      <c r="N486" s="28"/>
      <c r="O486" s="28"/>
      <c r="P486" s="28"/>
      <c r="Q486" s="28"/>
      <c r="R486" s="28"/>
      <c r="S486" s="28"/>
      <c r="T486" s="28"/>
      <c r="U486" s="7"/>
      <c r="V486" s="28"/>
      <c r="W486" s="28"/>
      <c r="X486" s="2"/>
      <c r="Y486" s="2"/>
      <c r="Z486" s="2"/>
    </row>
    <row r="487" spans="1:26" ht="19.5" customHeight="1">
      <c r="A487" s="28"/>
      <c r="B487" s="28"/>
      <c r="C487" s="28"/>
      <c r="D487" s="29"/>
      <c r="E487" s="29"/>
      <c r="F487" s="28"/>
      <c r="G487" s="28"/>
      <c r="H487" s="28"/>
      <c r="I487" s="28"/>
      <c r="J487" s="28"/>
      <c r="K487" s="28"/>
      <c r="L487" s="28"/>
      <c r="M487" s="28"/>
      <c r="N487" s="28"/>
      <c r="O487" s="28"/>
      <c r="P487" s="28"/>
      <c r="Q487" s="28"/>
      <c r="R487" s="28"/>
      <c r="S487" s="28"/>
      <c r="T487" s="28"/>
      <c r="U487" s="7"/>
      <c r="V487" s="28"/>
      <c r="W487" s="28"/>
      <c r="X487" s="2"/>
      <c r="Y487" s="2"/>
      <c r="Z487" s="2"/>
    </row>
    <row r="488" spans="1:26" ht="19.5" customHeight="1">
      <c r="A488" s="28"/>
      <c r="B488" s="28"/>
      <c r="C488" s="28"/>
      <c r="D488" s="29"/>
      <c r="E488" s="29"/>
      <c r="F488" s="28"/>
      <c r="G488" s="28"/>
      <c r="H488" s="28"/>
      <c r="I488" s="28"/>
      <c r="J488" s="28"/>
      <c r="K488" s="28"/>
      <c r="L488" s="28"/>
      <c r="M488" s="28"/>
      <c r="N488" s="28"/>
      <c r="O488" s="28"/>
      <c r="P488" s="28"/>
      <c r="Q488" s="28"/>
      <c r="R488" s="28"/>
      <c r="S488" s="28"/>
      <c r="T488" s="28"/>
      <c r="U488" s="7"/>
      <c r="V488" s="28"/>
      <c r="W488" s="28"/>
      <c r="X488" s="2"/>
      <c r="Y488" s="2"/>
      <c r="Z488" s="2"/>
    </row>
    <row r="489" spans="1:26" ht="19.5" customHeight="1">
      <c r="A489" s="28"/>
      <c r="B489" s="28"/>
      <c r="C489" s="28"/>
      <c r="D489" s="29"/>
      <c r="E489" s="29"/>
      <c r="F489" s="28"/>
      <c r="G489" s="28"/>
      <c r="H489" s="28"/>
      <c r="I489" s="28"/>
      <c r="J489" s="28"/>
      <c r="K489" s="28"/>
      <c r="L489" s="28"/>
      <c r="M489" s="28"/>
      <c r="N489" s="28"/>
      <c r="O489" s="28"/>
      <c r="P489" s="28"/>
      <c r="Q489" s="28"/>
      <c r="R489" s="28"/>
      <c r="S489" s="28"/>
      <c r="T489" s="28"/>
      <c r="U489" s="7"/>
      <c r="V489" s="28"/>
      <c r="W489" s="28"/>
      <c r="X489" s="2"/>
      <c r="Y489" s="2"/>
      <c r="Z489" s="2"/>
    </row>
    <row r="490" spans="1:26" ht="19.5" customHeight="1">
      <c r="A490" s="28"/>
      <c r="B490" s="28"/>
      <c r="C490" s="28"/>
      <c r="D490" s="29"/>
      <c r="E490" s="29"/>
      <c r="F490" s="28"/>
      <c r="G490" s="28"/>
      <c r="H490" s="28"/>
      <c r="I490" s="28"/>
      <c r="J490" s="28"/>
      <c r="K490" s="28"/>
      <c r="L490" s="28"/>
      <c r="M490" s="28"/>
      <c r="N490" s="28"/>
      <c r="O490" s="28"/>
      <c r="P490" s="28"/>
      <c r="Q490" s="28"/>
      <c r="R490" s="28"/>
      <c r="S490" s="28"/>
      <c r="T490" s="28"/>
      <c r="U490" s="7"/>
      <c r="V490" s="28"/>
      <c r="W490" s="28"/>
      <c r="X490" s="2"/>
      <c r="Y490" s="2"/>
      <c r="Z490" s="2"/>
    </row>
    <row r="491" spans="1:26" ht="19.5" customHeight="1">
      <c r="A491" s="28"/>
      <c r="B491" s="28"/>
      <c r="C491" s="28"/>
      <c r="D491" s="29"/>
      <c r="E491" s="29"/>
      <c r="F491" s="28"/>
      <c r="G491" s="28"/>
      <c r="H491" s="28"/>
      <c r="I491" s="28"/>
      <c r="J491" s="28"/>
      <c r="K491" s="28"/>
      <c r="L491" s="28"/>
      <c r="M491" s="28"/>
      <c r="N491" s="28"/>
      <c r="O491" s="28"/>
      <c r="P491" s="28"/>
      <c r="Q491" s="28"/>
      <c r="R491" s="28"/>
      <c r="S491" s="28"/>
      <c r="T491" s="28"/>
      <c r="U491" s="7"/>
      <c r="V491" s="28"/>
      <c r="W491" s="28"/>
      <c r="X491" s="2"/>
      <c r="Y491" s="2"/>
      <c r="Z491" s="2"/>
    </row>
    <row r="492" spans="1:26" ht="19.5" customHeight="1">
      <c r="A492" s="28"/>
      <c r="B492" s="28"/>
      <c r="C492" s="28"/>
      <c r="D492" s="29"/>
      <c r="E492" s="29"/>
      <c r="F492" s="28"/>
      <c r="G492" s="28"/>
      <c r="H492" s="28"/>
      <c r="I492" s="28"/>
      <c r="J492" s="28"/>
      <c r="K492" s="28"/>
      <c r="L492" s="28"/>
      <c r="M492" s="28"/>
      <c r="N492" s="28"/>
      <c r="O492" s="28"/>
      <c r="P492" s="28"/>
      <c r="Q492" s="28"/>
      <c r="R492" s="28"/>
      <c r="S492" s="28"/>
      <c r="T492" s="28"/>
      <c r="U492" s="7"/>
      <c r="V492" s="28"/>
      <c r="W492" s="28"/>
      <c r="X492" s="2"/>
      <c r="Y492" s="2"/>
      <c r="Z492" s="2"/>
    </row>
    <row r="493" spans="1:26" ht="19.5" customHeight="1">
      <c r="A493" s="28"/>
      <c r="B493" s="28"/>
      <c r="C493" s="28"/>
      <c r="D493" s="29"/>
      <c r="E493" s="29"/>
      <c r="F493" s="28"/>
      <c r="G493" s="28"/>
      <c r="H493" s="28"/>
      <c r="I493" s="28"/>
      <c r="J493" s="28"/>
      <c r="K493" s="28"/>
      <c r="L493" s="28"/>
      <c r="M493" s="28"/>
      <c r="N493" s="28"/>
      <c r="O493" s="28"/>
      <c r="P493" s="28"/>
      <c r="Q493" s="28"/>
      <c r="R493" s="28"/>
      <c r="S493" s="28"/>
      <c r="T493" s="28"/>
      <c r="U493" s="7"/>
      <c r="V493" s="28"/>
      <c r="W493" s="28"/>
      <c r="X493" s="2"/>
      <c r="Y493" s="2"/>
      <c r="Z493" s="2"/>
    </row>
    <row r="494" spans="1:26" ht="19.5" customHeight="1">
      <c r="A494" s="28"/>
      <c r="B494" s="28"/>
      <c r="C494" s="28"/>
      <c r="D494" s="29"/>
      <c r="E494" s="29"/>
      <c r="F494" s="28"/>
      <c r="G494" s="28"/>
      <c r="H494" s="28"/>
      <c r="I494" s="28"/>
      <c r="J494" s="28"/>
      <c r="K494" s="28"/>
      <c r="L494" s="28"/>
      <c r="M494" s="28"/>
      <c r="N494" s="28"/>
      <c r="O494" s="28"/>
      <c r="P494" s="28"/>
      <c r="Q494" s="28"/>
      <c r="R494" s="28"/>
      <c r="S494" s="28"/>
      <c r="T494" s="28"/>
      <c r="U494" s="7"/>
      <c r="V494" s="28"/>
      <c r="W494" s="28"/>
      <c r="X494" s="2"/>
      <c r="Y494" s="2"/>
      <c r="Z494" s="2"/>
    </row>
    <row r="495" spans="1:26" ht="19.5" customHeight="1">
      <c r="A495" s="28"/>
      <c r="B495" s="28"/>
      <c r="C495" s="28"/>
      <c r="D495" s="29"/>
      <c r="E495" s="29"/>
      <c r="F495" s="28"/>
      <c r="G495" s="28"/>
      <c r="H495" s="28"/>
      <c r="I495" s="28"/>
      <c r="J495" s="28"/>
      <c r="K495" s="28"/>
      <c r="L495" s="28"/>
      <c r="M495" s="28"/>
      <c r="N495" s="28"/>
      <c r="O495" s="28"/>
      <c r="P495" s="28"/>
      <c r="Q495" s="28"/>
      <c r="R495" s="28"/>
      <c r="S495" s="28"/>
      <c r="T495" s="28"/>
      <c r="U495" s="7"/>
      <c r="V495" s="28"/>
      <c r="W495" s="28"/>
      <c r="X495" s="2"/>
      <c r="Y495" s="2"/>
      <c r="Z495" s="2"/>
    </row>
    <row r="496" spans="1:26" ht="19.5" customHeight="1">
      <c r="A496" s="28"/>
      <c r="B496" s="28"/>
      <c r="C496" s="28"/>
      <c r="D496" s="29"/>
      <c r="E496" s="29"/>
      <c r="F496" s="28"/>
      <c r="G496" s="28"/>
      <c r="H496" s="28"/>
      <c r="I496" s="28"/>
      <c r="J496" s="28"/>
      <c r="K496" s="28"/>
      <c r="L496" s="28"/>
      <c r="M496" s="28"/>
      <c r="N496" s="28"/>
      <c r="O496" s="28"/>
      <c r="P496" s="28"/>
      <c r="Q496" s="28"/>
      <c r="R496" s="28"/>
      <c r="S496" s="28"/>
      <c r="T496" s="28"/>
      <c r="U496" s="7"/>
      <c r="V496" s="28"/>
      <c r="W496" s="28"/>
      <c r="X496" s="2"/>
      <c r="Y496" s="2"/>
      <c r="Z496" s="2"/>
    </row>
    <row r="497" spans="1:26" ht="19.5" customHeight="1">
      <c r="A497" s="28"/>
      <c r="B497" s="28"/>
      <c r="C497" s="28"/>
      <c r="D497" s="29"/>
      <c r="E497" s="29"/>
      <c r="F497" s="28"/>
      <c r="G497" s="28"/>
      <c r="H497" s="28"/>
      <c r="I497" s="28"/>
      <c r="J497" s="28"/>
      <c r="K497" s="28"/>
      <c r="L497" s="28"/>
      <c r="M497" s="28"/>
      <c r="N497" s="28"/>
      <c r="O497" s="28"/>
      <c r="P497" s="28"/>
      <c r="Q497" s="28"/>
      <c r="R497" s="28"/>
      <c r="S497" s="28"/>
      <c r="T497" s="28"/>
      <c r="U497" s="7"/>
      <c r="V497" s="28"/>
      <c r="W497" s="28"/>
      <c r="X497" s="2"/>
      <c r="Y497" s="2"/>
      <c r="Z497" s="2"/>
    </row>
    <row r="498" spans="1:26" ht="19.5" customHeight="1">
      <c r="A498" s="28"/>
      <c r="B498" s="28"/>
      <c r="C498" s="28"/>
      <c r="D498" s="29"/>
      <c r="E498" s="29"/>
      <c r="F498" s="28"/>
      <c r="G498" s="28"/>
      <c r="H498" s="28"/>
      <c r="I498" s="28"/>
      <c r="J498" s="28"/>
      <c r="K498" s="28"/>
      <c r="L498" s="28"/>
      <c r="M498" s="28"/>
      <c r="N498" s="28"/>
      <c r="O498" s="28"/>
      <c r="P498" s="28"/>
      <c r="Q498" s="28"/>
      <c r="R498" s="28"/>
      <c r="S498" s="28"/>
      <c r="T498" s="28"/>
      <c r="U498" s="7"/>
      <c r="V498" s="28"/>
      <c r="W498" s="28"/>
      <c r="X498" s="2"/>
      <c r="Y498" s="2"/>
      <c r="Z498" s="2"/>
    </row>
    <row r="499" spans="1:26" ht="19.5" customHeight="1">
      <c r="A499" s="28"/>
      <c r="B499" s="28"/>
      <c r="C499" s="28"/>
      <c r="D499" s="29"/>
      <c r="E499" s="29"/>
      <c r="F499" s="28"/>
      <c r="G499" s="28"/>
      <c r="H499" s="28"/>
      <c r="I499" s="28"/>
      <c r="J499" s="28"/>
      <c r="K499" s="28"/>
      <c r="L499" s="28"/>
      <c r="M499" s="28"/>
      <c r="N499" s="28"/>
      <c r="O499" s="28"/>
      <c r="P499" s="28"/>
      <c r="Q499" s="28"/>
      <c r="R499" s="28"/>
      <c r="S499" s="28"/>
      <c r="T499" s="28"/>
      <c r="U499" s="7"/>
      <c r="V499" s="28"/>
      <c r="W499" s="28"/>
      <c r="X499" s="2"/>
      <c r="Y499" s="2"/>
      <c r="Z499" s="2"/>
    </row>
    <row r="500" spans="1:26" ht="19.5" customHeight="1">
      <c r="A500" s="28"/>
      <c r="B500" s="28"/>
      <c r="C500" s="28"/>
      <c r="D500" s="29"/>
      <c r="E500" s="29"/>
      <c r="F500" s="28"/>
      <c r="G500" s="28"/>
      <c r="H500" s="28"/>
      <c r="I500" s="28"/>
      <c r="J500" s="28"/>
      <c r="K500" s="28"/>
      <c r="L500" s="28"/>
      <c r="M500" s="28"/>
      <c r="N500" s="28"/>
      <c r="O500" s="28"/>
      <c r="P500" s="28"/>
      <c r="Q500" s="28"/>
      <c r="R500" s="28"/>
      <c r="S500" s="28"/>
      <c r="T500" s="28"/>
      <c r="U500" s="7"/>
      <c r="V500" s="28"/>
      <c r="W500" s="28"/>
      <c r="X500" s="2"/>
      <c r="Y500" s="2"/>
      <c r="Z500" s="2"/>
    </row>
    <row r="501" spans="1:26" ht="19.5" customHeight="1">
      <c r="A501" s="28"/>
      <c r="B501" s="28"/>
      <c r="C501" s="28"/>
      <c r="D501" s="29"/>
      <c r="E501" s="29"/>
      <c r="F501" s="28"/>
      <c r="G501" s="28"/>
      <c r="H501" s="28"/>
      <c r="I501" s="28"/>
      <c r="J501" s="28"/>
      <c r="K501" s="28"/>
      <c r="L501" s="28"/>
      <c r="M501" s="28"/>
      <c r="N501" s="28"/>
      <c r="O501" s="28"/>
      <c r="P501" s="28"/>
      <c r="Q501" s="28"/>
      <c r="R501" s="28"/>
      <c r="S501" s="28"/>
      <c r="T501" s="28"/>
      <c r="U501" s="7"/>
      <c r="V501" s="28"/>
      <c r="W501" s="28"/>
      <c r="X501" s="2"/>
      <c r="Y501" s="2"/>
      <c r="Z501" s="2"/>
    </row>
    <row r="502" spans="1:26" ht="19.5" customHeight="1">
      <c r="A502" s="28"/>
      <c r="B502" s="28"/>
      <c r="C502" s="28"/>
      <c r="D502" s="29"/>
      <c r="E502" s="29"/>
      <c r="F502" s="28"/>
      <c r="G502" s="28"/>
      <c r="H502" s="28"/>
      <c r="I502" s="28"/>
      <c r="J502" s="28"/>
      <c r="K502" s="28"/>
      <c r="L502" s="28"/>
      <c r="M502" s="28"/>
      <c r="N502" s="28"/>
      <c r="O502" s="28"/>
      <c r="P502" s="28"/>
      <c r="Q502" s="28"/>
      <c r="R502" s="28"/>
      <c r="S502" s="28"/>
      <c r="T502" s="28"/>
      <c r="U502" s="7"/>
      <c r="V502" s="28"/>
      <c r="W502" s="28"/>
      <c r="X502" s="2"/>
      <c r="Y502" s="2"/>
      <c r="Z502" s="2"/>
    </row>
    <row r="503" spans="1:26" ht="19.5" customHeight="1">
      <c r="A503" s="28"/>
      <c r="B503" s="28"/>
      <c r="C503" s="28"/>
      <c r="D503" s="29"/>
      <c r="E503" s="29"/>
      <c r="F503" s="28"/>
      <c r="G503" s="28"/>
      <c r="H503" s="28"/>
      <c r="I503" s="28"/>
      <c r="J503" s="28"/>
      <c r="K503" s="28"/>
      <c r="L503" s="28"/>
      <c r="M503" s="28"/>
      <c r="N503" s="28"/>
      <c r="O503" s="28"/>
      <c r="P503" s="28"/>
      <c r="Q503" s="28"/>
      <c r="R503" s="28"/>
      <c r="S503" s="28"/>
      <c r="T503" s="28"/>
      <c r="U503" s="7"/>
      <c r="V503" s="28"/>
      <c r="W503" s="28"/>
      <c r="X503" s="2"/>
      <c r="Y503" s="2"/>
      <c r="Z503" s="2"/>
    </row>
    <row r="504" spans="1:26" ht="19.5" customHeight="1">
      <c r="A504" s="28"/>
      <c r="B504" s="28"/>
      <c r="C504" s="28"/>
      <c r="D504" s="29"/>
      <c r="E504" s="29"/>
      <c r="F504" s="28"/>
      <c r="G504" s="28"/>
      <c r="H504" s="28"/>
      <c r="I504" s="28"/>
      <c r="J504" s="28"/>
      <c r="K504" s="28"/>
      <c r="L504" s="28"/>
      <c r="M504" s="28"/>
      <c r="N504" s="28"/>
      <c r="O504" s="28"/>
      <c r="P504" s="28"/>
      <c r="Q504" s="28"/>
      <c r="R504" s="28"/>
      <c r="S504" s="28"/>
      <c r="T504" s="28"/>
      <c r="U504" s="7"/>
      <c r="V504" s="28"/>
      <c r="W504" s="28"/>
      <c r="X504" s="2"/>
      <c r="Y504" s="2"/>
      <c r="Z504" s="2"/>
    </row>
    <row r="505" spans="1:26" ht="19.5" customHeight="1">
      <c r="A505" s="28"/>
      <c r="B505" s="28"/>
      <c r="C505" s="28"/>
      <c r="D505" s="29"/>
      <c r="E505" s="29"/>
      <c r="F505" s="28"/>
      <c r="G505" s="28"/>
      <c r="H505" s="28"/>
      <c r="I505" s="28"/>
      <c r="J505" s="28"/>
      <c r="K505" s="28"/>
      <c r="L505" s="28"/>
      <c r="M505" s="28"/>
      <c r="N505" s="28"/>
      <c r="O505" s="28"/>
      <c r="P505" s="28"/>
      <c r="Q505" s="28"/>
      <c r="R505" s="28"/>
      <c r="S505" s="28"/>
      <c r="T505" s="28"/>
      <c r="U505" s="7"/>
      <c r="V505" s="28"/>
      <c r="W505" s="28"/>
      <c r="X505" s="2"/>
      <c r="Y505" s="2"/>
      <c r="Z505" s="2"/>
    </row>
    <row r="506" spans="1:26" ht="19.5" customHeight="1">
      <c r="A506" s="28"/>
      <c r="B506" s="28"/>
      <c r="C506" s="28"/>
      <c r="D506" s="29"/>
      <c r="E506" s="29"/>
      <c r="F506" s="28"/>
      <c r="G506" s="28"/>
      <c r="H506" s="28"/>
      <c r="I506" s="28"/>
      <c r="J506" s="28"/>
      <c r="K506" s="28"/>
      <c r="L506" s="28"/>
      <c r="M506" s="28"/>
      <c r="N506" s="28"/>
      <c r="O506" s="28"/>
      <c r="P506" s="28"/>
      <c r="Q506" s="28"/>
      <c r="R506" s="28"/>
      <c r="S506" s="28"/>
      <c r="T506" s="28"/>
      <c r="U506" s="7"/>
      <c r="V506" s="28"/>
      <c r="W506" s="28"/>
      <c r="X506" s="2"/>
      <c r="Y506" s="2"/>
      <c r="Z506" s="2"/>
    </row>
    <row r="507" spans="1:26" ht="19.5" customHeight="1">
      <c r="A507" s="28"/>
      <c r="B507" s="28"/>
      <c r="C507" s="28"/>
      <c r="D507" s="29"/>
      <c r="E507" s="29"/>
      <c r="F507" s="28"/>
      <c r="G507" s="28"/>
      <c r="H507" s="28"/>
      <c r="I507" s="28"/>
      <c r="J507" s="28"/>
      <c r="K507" s="28"/>
      <c r="L507" s="28"/>
      <c r="M507" s="28"/>
      <c r="N507" s="28"/>
      <c r="O507" s="28"/>
      <c r="P507" s="28"/>
      <c r="Q507" s="28"/>
      <c r="R507" s="28"/>
      <c r="S507" s="28"/>
      <c r="T507" s="28"/>
      <c r="U507" s="7"/>
      <c r="V507" s="28"/>
      <c r="W507" s="28"/>
      <c r="X507" s="2"/>
      <c r="Y507" s="2"/>
      <c r="Z507" s="2"/>
    </row>
    <row r="508" spans="1:26" ht="19.5" customHeight="1">
      <c r="A508" s="28"/>
      <c r="B508" s="28"/>
      <c r="C508" s="28"/>
      <c r="D508" s="29"/>
      <c r="E508" s="29"/>
      <c r="F508" s="28"/>
      <c r="G508" s="28"/>
      <c r="H508" s="28"/>
      <c r="I508" s="28"/>
      <c r="J508" s="28"/>
      <c r="K508" s="28"/>
      <c r="L508" s="28"/>
      <c r="M508" s="28"/>
      <c r="N508" s="28"/>
      <c r="O508" s="28"/>
      <c r="P508" s="28"/>
      <c r="Q508" s="28"/>
      <c r="R508" s="28"/>
      <c r="S508" s="28"/>
      <c r="T508" s="28"/>
      <c r="U508" s="7"/>
      <c r="V508" s="28"/>
      <c r="W508" s="28"/>
      <c r="X508" s="2"/>
      <c r="Y508" s="2"/>
      <c r="Z508" s="2"/>
    </row>
    <row r="509" spans="1:26" ht="19.5" customHeight="1">
      <c r="A509" s="28"/>
      <c r="B509" s="28"/>
      <c r="C509" s="28"/>
      <c r="D509" s="29"/>
      <c r="E509" s="29"/>
      <c r="F509" s="28"/>
      <c r="G509" s="28"/>
      <c r="H509" s="28"/>
      <c r="I509" s="28"/>
      <c r="J509" s="28"/>
      <c r="K509" s="28"/>
      <c r="L509" s="28"/>
      <c r="M509" s="28"/>
      <c r="N509" s="28"/>
      <c r="O509" s="28"/>
      <c r="P509" s="28"/>
      <c r="Q509" s="28"/>
      <c r="R509" s="28"/>
      <c r="S509" s="28"/>
      <c r="T509" s="28"/>
      <c r="U509" s="7"/>
      <c r="V509" s="28"/>
      <c r="W509" s="28"/>
      <c r="X509" s="2"/>
      <c r="Y509" s="2"/>
      <c r="Z509" s="2"/>
    </row>
    <row r="510" spans="1:26" ht="19.5" customHeight="1">
      <c r="A510" s="28"/>
      <c r="B510" s="28"/>
      <c r="C510" s="28"/>
      <c r="D510" s="29"/>
      <c r="E510" s="29"/>
      <c r="F510" s="28"/>
      <c r="G510" s="28"/>
      <c r="H510" s="28"/>
      <c r="I510" s="28"/>
      <c r="J510" s="28"/>
      <c r="K510" s="28"/>
      <c r="L510" s="28"/>
      <c r="M510" s="28"/>
      <c r="N510" s="28"/>
      <c r="O510" s="28"/>
      <c r="P510" s="28"/>
      <c r="Q510" s="28"/>
      <c r="R510" s="28"/>
      <c r="S510" s="28"/>
      <c r="T510" s="28"/>
      <c r="U510" s="7"/>
      <c r="V510" s="28"/>
      <c r="W510" s="28"/>
      <c r="X510" s="2"/>
      <c r="Y510" s="2"/>
      <c r="Z510" s="2"/>
    </row>
    <row r="511" spans="1:26" ht="19.5" customHeight="1">
      <c r="A511" s="28"/>
      <c r="B511" s="28"/>
      <c r="C511" s="28"/>
      <c r="D511" s="29"/>
      <c r="E511" s="29"/>
      <c r="F511" s="28"/>
      <c r="G511" s="28"/>
      <c r="H511" s="28"/>
      <c r="I511" s="28"/>
      <c r="J511" s="28"/>
      <c r="K511" s="28"/>
      <c r="L511" s="28"/>
      <c r="M511" s="28"/>
      <c r="N511" s="28"/>
      <c r="O511" s="28"/>
      <c r="P511" s="28"/>
      <c r="Q511" s="28"/>
      <c r="R511" s="28"/>
      <c r="S511" s="28"/>
      <c r="T511" s="28"/>
      <c r="U511" s="7"/>
      <c r="V511" s="28"/>
      <c r="W511" s="28"/>
      <c r="X511" s="2"/>
      <c r="Y511" s="2"/>
      <c r="Z511" s="2"/>
    </row>
    <row r="512" spans="1:26" ht="19.5" customHeight="1">
      <c r="A512" s="28"/>
      <c r="B512" s="28"/>
      <c r="C512" s="28"/>
      <c r="D512" s="29"/>
      <c r="E512" s="29"/>
      <c r="F512" s="28"/>
      <c r="G512" s="28"/>
      <c r="H512" s="28"/>
      <c r="I512" s="28"/>
      <c r="J512" s="28"/>
      <c r="K512" s="28"/>
      <c r="L512" s="28"/>
      <c r="M512" s="28"/>
      <c r="N512" s="28"/>
      <c r="O512" s="28"/>
      <c r="P512" s="28"/>
      <c r="Q512" s="28"/>
      <c r="R512" s="28"/>
      <c r="S512" s="28"/>
      <c r="T512" s="28"/>
      <c r="U512" s="7"/>
      <c r="V512" s="28"/>
      <c r="W512" s="28"/>
      <c r="X512" s="2"/>
      <c r="Y512" s="2"/>
      <c r="Z512" s="2"/>
    </row>
    <row r="513" spans="1:26" ht="19.5" customHeight="1">
      <c r="A513" s="28"/>
      <c r="B513" s="28"/>
      <c r="C513" s="28"/>
      <c r="D513" s="29"/>
      <c r="E513" s="29"/>
      <c r="F513" s="28"/>
      <c r="G513" s="28"/>
      <c r="H513" s="28"/>
      <c r="I513" s="28"/>
      <c r="J513" s="28"/>
      <c r="K513" s="28"/>
      <c r="L513" s="28"/>
      <c r="M513" s="28"/>
      <c r="N513" s="28"/>
      <c r="O513" s="28"/>
      <c r="P513" s="28"/>
      <c r="Q513" s="28"/>
      <c r="R513" s="28"/>
      <c r="S513" s="28"/>
      <c r="T513" s="28"/>
      <c r="U513" s="7"/>
      <c r="V513" s="28"/>
      <c r="W513" s="28"/>
      <c r="X513" s="2"/>
      <c r="Y513" s="2"/>
      <c r="Z513" s="2"/>
    </row>
    <row r="514" spans="1:26" ht="19.5" customHeight="1">
      <c r="A514" s="28"/>
      <c r="B514" s="28"/>
      <c r="C514" s="28"/>
      <c r="D514" s="29"/>
      <c r="E514" s="29"/>
      <c r="F514" s="28"/>
      <c r="G514" s="28"/>
      <c r="H514" s="28"/>
      <c r="I514" s="28"/>
      <c r="J514" s="28"/>
      <c r="K514" s="28"/>
      <c r="L514" s="28"/>
      <c r="M514" s="28"/>
      <c r="N514" s="28"/>
      <c r="O514" s="28"/>
      <c r="P514" s="28"/>
      <c r="Q514" s="28"/>
      <c r="R514" s="28"/>
      <c r="S514" s="28"/>
      <c r="T514" s="28"/>
      <c r="U514" s="7"/>
      <c r="V514" s="28"/>
      <c r="W514" s="28"/>
      <c r="X514" s="2"/>
      <c r="Y514" s="2"/>
      <c r="Z514" s="2"/>
    </row>
    <row r="515" spans="1:26" ht="19.5" customHeight="1">
      <c r="A515" s="28"/>
      <c r="B515" s="28"/>
      <c r="C515" s="28"/>
      <c r="D515" s="29"/>
      <c r="E515" s="29"/>
      <c r="F515" s="28"/>
      <c r="G515" s="28"/>
      <c r="H515" s="28"/>
      <c r="I515" s="28"/>
      <c r="J515" s="28"/>
      <c r="K515" s="28"/>
      <c r="L515" s="28"/>
      <c r="M515" s="28"/>
      <c r="N515" s="28"/>
      <c r="O515" s="28"/>
      <c r="P515" s="28"/>
      <c r="Q515" s="28"/>
      <c r="R515" s="28"/>
      <c r="S515" s="28"/>
      <c r="T515" s="28"/>
      <c r="U515" s="7"/>
      <c r="V515" s="28"/>
      <c r="W515" s="28"/>
      <c r="X515" s="2"/>
      <c r="Y515" s="2"/>
      <c r="Z515" s="2"/>
    </row>
    <row r="516" spans="1:26" ht="19.5" customHeight="1">
      <c r="A516" s="28"/>
      <c r="B516" s="28"/>
      <c r="C516" s="28"/>
      <c r="D516" s="29"/>
      <c r="E516" s="29"/>
      <c r="F516" s="28"/>
      <c r="G516" s="28"/>
      <c r="H516" s="28"/>
      <c r="I516" s="28"/>
      <c r="J516" s="28"/>
      <c r="K516" s="28"/>
      <c r="L516" s="28"/>
      <c r="M516" s="28"/>
      <c r="N516" s="28"/>
      <c r="O516" s="28"/>
      <c r="P516" s="28"/>
      <c r="Q516" s="28"/>
      <c r="R516" s="28"/>
      <c r="S516" s="28"/>
      <c r="T516" s="28"/>
      <c r="U516" s="7"/>
      <c r="V516" s="28"/>
      <c r="W516" s="28"/>
      <c r="X516" s="2"/>
      <c r="Y516" s="2"/>
      <c r="Z516" s="2"/>
    </row>
    <row r="517" spans="1:26" ht="19.5" customHeight="1">
      <c r="A517" s="28"/>
      <c r="B517" s="28"/>
      <c r="C517" s="28"/>
      <c r="D517" s="29"/>
      <c r="E517" s="29"/>
      <c r="F517" s="28"/>
      <c r="G517" s="28"/>
      <c r="H517" s="28"/>
      <c r="I517" s="28"/>
      <c r="J517" s="28"/>
      <c r="K517" s="28"/>
      <c r="L517" s="28"/>
      <c r="M517" s="28"/>
      <c r="N517" s="28"/>
      <c r="O517" s="28"/>
      <c r="P517" s="28"/>
      <c r="Q517" s="28"/>
      <c r="R517" s="28"/>
      <c r="S517" s="28"/>
      <c r="T517" s="28"/>
      <c r="U517" s="7"/>
      <c r="V517" s="28"/>
      <c r="W517" s="28"/>
      <c r="X517" s="2"/>
      <c r="Y517" s="2"/>
      <c r="Z517" s="2"/>
    </row>
    <row r="518" spans="1:26" ht="19.5" customHeight="1">
      <c r="A518" s="28"/>
      <c r="B518" s="28"/>
      <c r="C518" s="28"/>
      <c r="D518" s="29"/>
      <c r="E518" s="29"/>
      <c r="F518" s="28"/>
      <c r="G518" s="28"/>
      <c r="H518" s="28"/>
      <c r="I518" s="28"/>
      <c r="J518" s="28"/>
      <c r="K518" s="28"/>
      <c r="L518" s="28"/>
      <c r="M518" s="28"/>
      <c r="N518" s="28"/>
      <c r="O518" s="28"/>
      <c r="P518" s="28"/>
      <c r="Q518" s="28"/>
      <c r="R518" s="28"/>
      <c r="S518" s="28"/>
      <c r="T518" s="28"/>
      <c r="U518" s="7"/>
      <c r="V518" s="28"/>
      <c r="W518" s="28"/>
      <c r="X518" s="2"/>
      <c r="Y518" s="2"/>
      <c r="Z518" s="2"/>
    </row>
    <row r="519" spans="1:26" ht="19.5" customHeight="1">
      <c r="A519" s="28"/>
      <c r="B519" s="28"/>
      <c r="C519" s="28"/>
      <c r="D519" s="29"/>
      <c r="E519" s="29"/>
      <c r="F519" s="28"/>
      <c r="G519" s="28"/>
      <c r="H519" s="28"/>
      <c r="I519" s="28"/>
      <c r="J519" s="28"/>
      <c r="K519" s="28"/>
      <c r="L519" s="28"/>
      <c r="M519" s="28"/>
      <c r="N519" s="28"/>
      <c r="O519" s="28"/>
      <c r="P519" s="28"/>
      <c r="Q519" s="28"/>
      <c r="R519" s="28"/>
      <c r="S519" s="28"/>
      <c r="T519" s="28"/>
      <c r="U519" s="7"/>
      <c r="V519" s="28"/>
      <c r="W519" s="28"/>
      <c r="X519" s="2"/>
      <c r="Y519" s="2"/>
      <c r="Z519" s="2"/>
    </row>
    <row r="520" spans="1:26" ht="19.5" customHeight="1">
      <c r="A520" s="28"/>
      <c r="B520" s="28"/>
      <c r="C520" s="28"/>
      <c r="D520" s="29"/>
      <c r="E520" s="29"/>
      <c r="F520" s="28"/>
      <c r="G520" s="28"/>
      <c r="H520" s="28"/>
      <c r="I520" s="28"/>
      <c r="J520" s="28"/>
      <c r="K520" s="28"/>
      <c r="L520" s="28"/>
      <c r="M520" s="28"/>
      <c r="N520" s="28"/>
      <c r="O520" s="28"/>
      <c r="P520" s="28"/>
      <c r="Q520" s="28"/>
      <c r="R520" s="28"/>
      <c r="S520" s="28"/>
      <c r="T520" s="28"/>
      <c r="U520" s="7"/>
      <c r="V520" s="28"/>
      <c r="W520" s="28"/>
      <c r="X520" s="2"/>
      <c r="Y520" s="2"/>
      <c r="Z520" s="2"/>
    </row>
    <row r="521" spans="1:26" ht="19.5" customHeight="1">
      <c r="A521" s="28"/>
      <c r="B521" s="28"/>
      <c r="C521" s="28"/>
      <c r="D521" s="29"/>
      <c r="E521" s="29"/>
      <c r="F521" s="28"/>
      <c r="G521" s="28"/>
      <c r="H521" s="28"/>
      <c r="I521" s="28"/>
      <c r="J521" s="28"/>
      <c r="K521" s="28"/>
      <c r="L521" s="28"/>
      <c r="M521" s="28"/>
      <c r="N521" s="28"/>
      <c r="O521" s="28"/>
      <c r="P521" s="28"/>
      <c r="Q521" s="28"/>
      <c r="R521" s="28"/>
      <c r="S521" s="28"/>
      <c r="T521" s="28"/>
      <c r="U521" s="7"/>
      <c r="V521" s="28"/>
      <c r="W521" s="28"/>
      <c r="X521" s="2"/>
      <c r="Y521" s="2"/>
      <c r="Z521" s="2"/>
    </row>
    <row r="522" spans="1:26" ht="19.5" customHeight="1">
      <c r="A522" s="28"/>
      <c r="B522" s="28"/>
      <c r="C522" s="28"/>
      <c r="D522" s="29"/>
      <c r="E522" s="29"/>
      <c r="F522" s="28"/>
      <c r="G522" s="28"/>
      <c r="H522" s="28"/>
      <c r="I522" s="28"/>
      <c r="J522" s="28"/>
      <c r="K522" s="28"/>
      <c r="L522" s="28"/>
      <c r="M522" s="28"/>
      <c r="N522" s="28"/>
      <c r="O522" s="28"/>
      <c r="P522" s="28"/>
      <c r="Q522" s="28"/>
      <c r="R522" s="28"/>
      <c r="S522" s="28"/>
      <c r="T522" s="28"/>
      <c r="U522" s="7"/>
      <c r="V522" s="28"/>
      <c r="W522" s="28"/>
      <c r="X522" s="2"/>
      <c r="Y522" s="2"/>
      <c r="Z522" s="2"/>
    </row>
    <row r="523" spans="1:26" ht="19.5" customHeight="1">
      <c r="A523" s="28"/>
      <c r="B523" s="28"/>
      <c r="C523" s="28"/>
      <c r="D523" s="29"/>
      <c r="E523" s="29"/>
      <c r="F523" s="28"/>
      <c r="G523" s="28"/>
      <c r="H523" s="28"/>
      <c r="I523" s="28"/>
      <c r="J523" s="28"/>
      <c r="K523" s="28"/>
      <c r="L523" s="28"/>
      <c r="M523" s="28"/>
      <c r="N523" s="28"/>
      <c r="O523" s="28"/>
      <c r="P523" s="28"/>
      <c r="Q523" s="28"/>
      <c r="R523" s="28"/>
      <c r="S523" s="28"/>
      <c r="T523" s="28"/>
      <c r="U523" s="7"/>
      <c r="V523" s="28"/>
      <c r="W523" s="28"/>
      <c r="X523" s="2"/>
      <c r="Y523" s="2"/>
      <c r="Z523" s="2"/>
    </row>
    <row r="524" spans="1:26" ht="19.5" customHeight="1">
      <c r="A524" s="28"/>
      <c r="B524" s="28"/>
      <c r="C524" s="28"/>
      <c r="D524" s="29"/>
      <c r="E524" s="29"/>
      <c r="F524" s="28"/>
      <c r="G524" s="28"/>
      <c r="H524" s="28"/>
      <c r="I524" s="28"/>
      <c r="J524" s="28"/>
      <c r="K524" s="28"/>
      <c r="L524" s="28"/>
      <c r="M524" s="28"/>
      <c r="N524" s="28"/>
      <c r="O524" s="28"/>
      <c r="P524" s="28"/>
      <c r="Q524" s="28"/>
      <c r="R524" s="28"/>
      <c r="S524" s="28"/>
      <c r="T524" s="28"/>
      <c r="U524" s="7"/>
      <c r="V524" s="28"/>
      <c r="W524" s="28"/>
      <c r="X524" s="2"/>
      <c r="Y524" s="2"/>
      <c r="Z524" s="2"/>
    </row>
    <row r="525" spans="1:26" ht="19.5" customHeight="1">
      <c r="A525" s="28"/>
      <c r="B525" s="28"/>
      <c r="C525" s="28"/>
      <c r="D525" s="29"/>
      <c r="E525" s="29"/>
      <c r="F525" s="28"/>
      <c r="G525" s="28"/>
      <c r="H525" s="28"/>
      <c r="I525" s="28"/>
      <c r="J525" s="28"/>
      <c r="K525" s="28"/>
      <c r="L525" s="28"/>
      <c r="M525" s="28"/>
      <c r="N525" s="28"/>
      <c r="O525" s="28"/>
      <c r="P525" s="28"/>
      <c r="Q525" s="28"/>
      <c r="R525" s="28"/>
      <c r="S525" s="28"/>
      <c r="T525" s="28"/>
      <c r="U525" s="7"/>
      <c r="V525" s="28"/>
      <c r="W525" s="28"/>
      <c r="X525" s="2"/>
      <c r="Y525" s="2"/>
      <c r="Z525" s="2"/>
    </row>
    <row r="526" spans="1:26" ht="19.5" customHeight="1">
      <c r="A526" s="28"/>
      <c r="B526" s="28"/>
      <c r="C526" s="28"/>
      <c r="D526" s="29"/>
      <c r="E526" s="29"/>
      <c r="F526" s="28"/>
      <c r="G526" s="28"/>
      <c r="H526" s="28"/>
      <c r="I526" s="28"/>
      <c r="J526" s="28"/>
      <c r="K526" s="28"/>
      <c r="L526" s="28"/>
      <c r="M526" s="28"/>
      <c r="N526" s="28"/>
      <c r="O526" s="28"/>
      <c r="P526" s="28"/>
      <c r="Q526" s="28"/>
      <c r="R526" s="28"/>
      <c r="S526" s="28"/>
      <c r="T526" s="28"/>
      <c r="U526" s="7"/>
      <c r="V526" s="28"/>
      <c r="W526" s="28"/>
      <c r="X526" s="2"/>
      <c r="Y526" s="2"/>
      <c r="Z526" s="2"/>
    </row>
    <row r="527" spans="1:26" ht="19.5" customHeight="1">
      <c r="A527" s="28"/>
      <c r="B527" s="28"/>
      <c r="C527" s="28"/>
      <c r="D527" s="29"/>
      <c r="E527" s="29"/>
      <c r="F527" s="28"/>
      <c r="G527" s="28"/>
      <c r="H527" s="28"/>
      <c r="I527" s="28"/>
      <c r="J527" s="28"/>
      <c r="K527" s="28"/>
      <c r="L527" s="28"/>
      <c r="M527" s="28"/>
      <c r="N527" s="28"/>
      <c r="O527" s="28"/>
      <c r="P527" s="28"/>
      <c r="Q527" s="28"/>
      <c r="R527" s="28"/>
      <c r="S527" s="28"/>
      <c r="T527" s="28"/>
      <c r="U527" s="7"/>
      <c r="V527" s="28"/>
      <c r="W527" s="28"/>
      <c r="X527" s="2"/>
      <c r="Y527" s="2"/>
      <c r="Z527" s="2"/>
    </row>
    <row r="528" spans="1:26" ht="19.5" customHeight="1">
      <c r="A528" s="28"/>
      <c r="B528" s="28"/>
      <c r="C528" s="28"/>
      <c r="D528" s="29"/>
      <c r="E528" s="29"/>
      <c r="F528" s="28"/>
      <c r="G528" s="28"/>
      <c r="H528" s="28"/>
      <c r="I528" s="28"/>
      <c r="J528" s="28"/>
      <c r="K528" s="28"/>
      <c r="L528" s="28"/>
      <c r="M528" s="28"/>
      <c r="N528" s="28"/>
      <c r="O528" s="28"/>
      <c r="P528" s="28"/>
      <c r="Q528" s="28"/>
      <c r="R528" s="28"/>
      <c r="S528" s="28"/>
      <c r="T528" s="28"/>
      <c r="U528" s="7"/>
      <c r="V528" s="28"/>
      <c r="W528" s="28"/>
      <c r="X528" s="2"/>
      <c r="Y528" s="2"/>
      <c r="Z528" s="2"/>
    </row>
    <row r="529" spans="1:26" ht="19.5" customHeight="1">
      <c r="A529" s="28"/>
      <c r="B529" s="28"/>
      <c r="C529" s="28"/>
      <c r="D529" s="29"/>
      <c r="E529" s="29"/>
      <c r="F529" s="28"/>
      <c r="G529" s="28"/>
      <c r="H529" s="28"/>
      <c r="I529" s="28"/>
      <c r="J529" s="28"/>
      <c r="K529" s="28"/>
      <c r="L529" s="28"/>
      <c r="M529" s="28"/>
      <c r="N529" s="28"/>
      <c r="O529" s="28"/>
      <c r="P529" s="28"/>
      <c r="Q529" s="28"/>
      <c r="R529" s="28"/>
      <c r="S529" s="28"/>
      <c r="T529" s="28"/>
      <c r="U529" s="7"/>
      <c r="V529" s="28"/>
      <c r="W529" s="28"/>
      <c r="X529" s="2"/>
      <c r="Y529" s="2"/>
      <c r="Z529" s="2"/>
    </row>
    <row r="530" spans="1:26" ht="19.5" customHeight="1">
      <c r="A530" s="28"/>
      <c r="B530" s="28"/>
      <c r="C530" s="28"/>
      <c r="D530" s="29"/>
      <c r="E530" s="29"/>
      <c r="F530" s="28"/>
      <c r="G530" s="28"/>
      <c r="H530" s="28"/>
      <c r="I530" s="28"/>
      <c r="J530" s="28"/>
      <c r="K530" s="28"/>
      <c r="L530" s="28"/>
      <c r="M530" s="28"/>
      <c r="N530" s="28"/>
      <c r="O530" s="28"/>
      <c r="P530" s="28"/>
      <c r="Q530" s="28"/>
      <c r="R530" s="28"/>
      <c r="S530" s="28"/>
      <c r="T530" s="28"/>
      <c r="U530" s="7"/>
      <c r="V530" s="28"/>
      <c r="W530" s="28"/>
      <c r="X530" s="2"/>
      <c r="Y530" s="2"/>
      <c r="Z530" s="2"/>
    </row>
    <row r="531" spans="1:26" ht="19.5" customHeight="1">
      <c r="A531" s="28"/>
      <c r="B531" s="28"/>
      <c r="C531" s="28"/>
      <c r="D531" s="29"/>
      <c r="E531" s="29"/>
      <c r="F531" s="28"/>
      <c r="G531" s="28"/>
      <c r="H531" s="28"/>
      <c r="I531" s="28"/>
      <c r="J531" s="28"/>
      <c r="K531" s="28"/>
      <c r="L531" s="28"/>
      <c r="M531" s="28"/>
      <c r="N531" s="28"/>
      <c r="O531" s="28"/>
      <c r="P531" s="28"/>
      <c r="Q531" s="28"/>
      <c r="R531" s="28"/>
      <c r="S531" s="28"/>
      <c r="T531" s="28"/>
      <c r="U531" s="7"/>
      <c r="V531" s="28"/>
      <c r="W531" s="28"/>
      <c r="X531" s="2"/>
      <c r="Y531" s="2"/>
      <c r="Z531" s="2"/>
    </row>
    <row r="532" spans="1:26" ht="19.5" customHeight="1">
      <c r="A532" s="28"/>
      <c r="B532" s="28"/>
      <c r="C532" s="28"/>
      <c r="D532" s="29"/>
      <c r="E532" s="29"/>
      <c r="F532" s="28"/>
      <c r="G532" s="28"/>
      <c r="H532" s="28"/>
      <c r="I532" s="28"/>
      <c r="J532" s="28"/>
      <c r="K532" s="28"/>
      <c r="L532" s="28"/>
      <c r="M532" s="28"/>
      <c r="N532" s="28"/>
      <c r="O532" s="28"/>
      <c r="P532" s="28"/>
      <c r="Q532" s="28"/>
      <c r="R532" s="28"/>
      <c r="S532" s="28"/>
      <c r="T532" s="28"/>
      <c r="U532" s="7"/>
      <c r="V532" s="28"/>
      <c r="W532" s="28"/>
      <c r="X532" s="2"/>
      <c r="Y532" s="2"/>
      <c r="Z532" s="2"/>
    </row>
    <row r="533" spans="1:26" ht="19.5" customHeight="1">
      <c r="A533" s="28"/>
      <c r="B533" s="28"/>
      <c r="C533" s="28"/>
      <c r="D533" s="29"/>
      <c r="E533" s="29"/>
      <c r="F533" s="28"/>
      <c r="G533" s="28"/>
      <c r="H533" s="28"/>
      <c r="I533" s="28"/>
      <c r="J533" s="28"/>
      <c r="K533" s="28"/>
      <c r="L533" s="28"/>
      <c r="M533" s="28"/>
      <c r="N533" s="28"/>
      <c r="O533" s="28"/>
      <c r="P533" s="28"/>
      <c r="Q533" s="28"/>
      <c r="R533" s="28"/>
      <c r="S533" s="28"/>
      <c r="T533" s="28"/>
      <c r="U533" s="7"/>
      <c r="V533" s="28"/>
      <c r="W533" s="28"/>
      <c r="X533" s="2"/>
      <c r="Y533" s="2"/>
      <c r="Z533" s="2"/>
    </row>
    <row r="534" spans="1:26" ht="19.5" customHeight="1">
      <c r="A534" s="28"/>
      <c r="B534" s="28"/>
      <c r="C534" s="28"/>
      <c r="D534" s="29"/>
      <c r="E534" s="29"/>
      <c r="F534" s="28"/>
      <c r="G534" s="28"/>
      <c r="H534" s="28"/>
      <c r="I534" s="28"/>
      <c r="J534" s="28"/>
      <c r="K534" s="28"/>
      <c r="L534" s="28"/>
      <c r="M534" s="28"/>
      <c r="N534" s="28"/>
      <c r="O534" s="28"/>
      <c r="P534" s="28"/>
      <c r="Q534" s="28"/>
      <c r="R534" s="28"/>
      <c r="S534" s="28"/>
      <c r="T534" s="28"/>
      <c r="U534" s="7"/>
      <c r="V534" s="28"/>
      <c r="W534" s="28"/>
      <c r="X534" s="2"/>
      <c r="Y534" s="2"/>
      <c r="Z534" s="2"/>
    </row>
    <row r="535" spans="1:26" ht="19.5" customHeight="1">
      <c r="A535" s="28"/>
      <c r="B535" s="28"/>
      <c r="C535" s="28"/>
      <c r="D535" s="29"/>
      <c r="E535" s="29"/>
      <c r="F535" s="28"/>
      <c r="G535" s="28"/>
      <c r="H535" s="28"/>
      <c r="I535" s="28"/>
      <c r="J535" s="28"/>
      <c r="K535" s="28"/>
      <c r="L535" s="28"/>
      <c r="M535" s="28"/>
      <c r="N535" s="28"/>
      <c r="O535" s="28"/>
      <c r="P535" s="28"/>
      <c r="Q535" s="28"/>
      <c r="R535" s="28"/>
      <c r="S535" s="28"/>
      <c r="T535" s="28"/>
      <c r="U535" s="7"/>
      <c r="V535" s="28"/>
      <c r="W535" s="28"/>
      <c r="X535" s="2"/>
      <c r="Y535" s="2"/>
      <c r="Z535" s="2"/>
    </row>
    <row r="536" spans="1:26" ht="19.5" customHeight="1">
      <c r="A536" s="28"/>
      <c r="B536" s="28"/>
      <c r="C536" s="28"/>
      <c r="D536" s="29"/>
      <c r="E536" s="29"/>
      <c r="F536" s="28"/>
      <c r="G536" s="28"/>
      <c r="H536" s="28"/>
      <c r="I536" s="28"/>
      <c r="J536" s="28"/>
      <c r="K536" s="28"/>
      <c r="L536" s="28"/>
      <c r="M536" s="28"/>
      <c r="N536" s="28"/>
      <c r="O536" s="28"/>
      <c r="P536" s="28"/>
      <c r="Q536" s="28"/>
      <c r="R536" s="28"/>
      <c r="S536" s="28"/>
      <c r="T536" s="28"/>
      <c r="U536" s="7"/>
      <c r="V536" s="28"/>
      <c r="W536" s="28"/>
      <c r="X536" s="2"/>
      <c r="Y536" s="2"/>
      <c r="Z536" s="2"/>
    </row>
    <row r="537" spans="1:26" ht="19.5" customHeight="1">
      <c r="A537" s="28"/>
      <c r="B537" s="28"/>
      <c r="C537" s="28"/>
      <c r="D537" s="29"/>
      <c r="E537" s="29"/>
      <c r="F537" s="28"/>
      <c r="G537" s="28"/>
      <c r="H537" s="28"/>
      <c r="I537" s="28"/>
      <c r="J537" s="28"/>
      <c r="K537" s="28"/>
      <c r="L537" s="28"/>
      <c r="M537" s="28"/>
      <c r="N537" s="28"/>
      <c r="O537" s="28"/>
      <c r="P537" s="28"/>
      <c r="Q537" s="28"/>
      <c r="R537" s="28"/>
      <c r="S537" s="28"/>
      <c r="T537" s="28"/>
      <c r="U537" s="7"/>
      <c r="V537" s="28"/>
      <c r="W537" s="28"/>
      <c r="X537" s="2"/>
      <c r="Y537" s="2"/>
      <c r="Z537" s="2"/>
    </row>
    <row r="538" spans="1:26" ht="19.5" customHeight="1">
      <c r="A538" s="28"/>
      <c r="B538" s="28"/>
      <c r="C538" s="28"/>
      <c r="D538" s="29"/>
      <c r="E538" s="29"/>
      <c r="F538" s="28"/>
      <c r="G538" s="28"/>
      <c r="H538" s="28"/>
      <c r="I538" s="28"/>
      <c r="J538" s="28"/>
      <c r="K538" s="28"/>
      <c r="L538" s="28"/>
      <c r="M538" s="28"/>
      <c r="N538" s="28"/>
      <c r="O538" s="28"/>
      <c r="P538" s="28"/>
      <c r="Q538" s="28"/>
      <c r="R538" s="28"/>
      <c r="S538" s="28"/>
      <c r="T538" s="28"/>
      <c r="U538" s="7"/>
      <c r="V538" s="28"/>
      <c r="W538" s="28"/>
      <c r="X538" s="2"/>
      <c r="Y538" s="2"/>
      <c r="Z538" s="2"/>
    </row>
    <row r="539" spans="1:26" ht="19.5" customHeight="1">
      <c r="A539" s="28"/>
      <c r="B539" s="28"/>
      <c r="C539" s="28"/>
      <c r="D539" s="29"/>
      <c r="E539" s="29"/>
      <c r="F539" s="28"/>
      <c r="G539" s="28"/>
      <c r="H539" s="28"/>
      <c r="I539" s="28"/>
      <c r="J539" s="28"/>
      <c r="K539" s="28"/>
      <c r="L539" s="28"/>
      <c r="M539" s="28"/>
      <c r="N539" s="28"/>
      <c r="O539" s="28"/>
      <c r="P539" s="28"/>
      <c r="Q539" s="28"/>
      <c r="R539" s="28"/>
      <c r="S539" s="28"/>
      <c r="T539" s="28"/>
      <c r="U539" s="7"/>
      <c r="V539" s="28"/>
      <c r="W539" s="28"/>
      <c r="X539" s="2"/>
      <c r="Y539" s="2"/>
      <c r="Z539" s="2"/>
    </row>
    <row r="540" spans="1:26" ht="19.5" customHeight="1">
      <c r="A540" s="28"/>
      <c r="B540" s="28"/>
      <c r="C540" s="28"/>
      <c r="D540" s="29"/>
      <c r="E540" s="29"/>
      <c r="F540" s="28"/>
      <c r="G540" s="28"/>
      <c r="H540" s="28"/>
      <c r="I540" s="28"/>
      <c r="J540" s="28"/>
      <c r="K540" s="28"/>
      <c r="L540" s="28"/>
      <c r="M540" s="28"/>
      <c r="N540" s="28"/>
      <c r="O540" s="28"/>
      <c r="P540" s="28"/>
      <c r="Q540" s="28"/>
      <c r="R540" s="28"/>
      <c r="S540" s="28"/>
      <c r="T540" s="28"/>
      <c r="U540" s="7"/>
      <c r="V540" s="28"/>
      <c r="W540" s="28"/>
      <c r="X540" s="2"/>
      <c r="Y540" s="2"/>
      <c r="Z540" s="2"/>
    </row>
    <row r="541" spans="1:26" ht="19.5" customHeight="1">
      <c r="A541" s="28"/>
      <c r="B541" s="28"/>
      <c r="C541" s="28"/>
      <c r="D541" s="29"/>
      <c r="E541" s="29"/>
      <c r="F541" s="28"/>
      <c r="G541" s="28"/>
      <c r="H541" s="28"/>
      <c r="I541" s="28"/>
      <c r="J541" s="28"/>
      <c r="K541" s="28"/>
      <c r="L541" s="28"/>
      <c r="M541" s="28"/>
      <c r="N541" s="28"/>
      <c r="O541" s="28"/>
      <c r="P541" s="28"/>
      <c r="Q541" s="28"/>
      <c r="R541" s="28"/>
      <c r="S541" s="28"/>
      <c r="T541" s="28"/>
      <c r="U541" s="7"/>
      <c r="V541" s="28"/>
      <c r="W541" s="28"/>
      <c r="X541" s="2"/>
      <c r="Y541" s="2"/>
      <c r="Z541" s="2"/>
    </row>
    <row r="542" spans="1:26" ht="19.5" customHeight="1">
      <c r="A542" s="28"/>
      <c r="B542" s="28"/>
      <c r="C542" s="28"/>
      <c r="D542" s="29"/>
      <c r="E542" s="29"/>
      <c r="F542" s="28"/>
      <c r="G542" s="28"/>
      <c r="H542" s="28"/>
      <c r="I542" s="28"/>
      <c r="J542" s="28"/>
      <c r="K542" s="28"/>
      <c r="L542" s="28"/>
      <c r="M542" s="28"/>
      <c r="N542" s="28"/>
      <c r="O542" s="28"/>
      <c r="P542" s="28"/>
      <c r="Q542" s="28"/>
      <c r="R542" s="28"/>
      <c r="S542" s="28"/>
      <c r="T542" s="28"/>
      <c r="U542" s="7"/>
      <c r="V542" s="28"/>
      <c r="W542" s="28"/>
      <c r="X542" s="2"/>
      <c r="Y542" s="2"/>
      <c r="Z542" s="2"/>
    </row>
    <row r="543" spans="1:26" ht="19.5" customHeight="1">
      <c r="A543" s="28"/>
      <c r="B543" s="28"/>
      <c r="C543" s="28"/>
      <c r="D543" s="29"/>
      <c r="E543" s="29"/>
      <c r="F543" s="28"/>
      <c r="G543" s="28"/>
      <c r="H543" s="28"/>
      <c r="I543" s="28"/>
      <c r="J543" s="28"/>
      <c r="K543" s="28"/>
      <c r="L543" s="28"/>
      <c r="M543" s="28"/>
      <c r="N543" s="28"/>
      <c r="O543" s="28"/>
      <c r="P543" s="28"/>
      <c r="Q543" s="28"/>
      <c r="R543" s="28"/>
      <c r="S543" s="28"/>
      <c r="T543" s="28"/>
      <c r="U543" s="7"/>
      <c r="V543" s="28"/>
      <c r="W543" s="28"/>
      <c r="X543" s="2"/>
      <c r="Y543" s="2"/>
      <c r="Z543" s="2"/>
    </row>
    <row r="544" spans="1:26" ht="19.5" customHeight="1">
      <c r="A544" s="28"/>
      <c r="B544" s="28"/>
      <c r="C544" s="28"/>
      <c r="D544" s="29"/>
      <c r="E544" s="29"/>
      <c r="F544" s="28"/>
      <c r="G544" s="28"/>
      <c r="H544" s="28"/>
      <c r="I544" s="28"/>
      <c r="J544" s="28"/>
      <c r="K544" s="28"/>
      <c r="L544" s="28"/>
      <c r="M544" s="28"/>
      <c r="N544" s="28"/>
      <c r="O544" s="28"/>
      <c r="P544" s="28"/>
      <c r="Q544" s="28"/>
      <c r="R544" s="28"/>
      <c r="S544" s="28"/>
      <c r="T544" s="28"/>
      <c r="U544" s="7"/>
      <c r="V544" s="28"/>
      <c r="W544" s="28"/>
      <c r="X544" s="2"/>
      <c r="Y544" s="2"/>
      <c r="Z544" s="2"/>
    </row>
    <row r="545" spans="1:26" ht="19.5" customHeight="1">
      <c r="A545" s="28"/>
      <c r="B545" s="28"/>
      <c r="C545" s="28"/>
      <c r="D545" s="29"/>
      <c r="E545" s="29"/>
      <c r="F545" s="28"/>
      <c r="G545" s="28"/>
      <c r="H545" s="28"/>
      <c r="I545" s="28"/>
      <c r="J545" s="28"/>
      <c r="K545" s="28"/>
      <c r="L545" s="28"/>
      <c r="M545" s="28"/>
      <c r="N545" s="28"/>
      <c r="O545" s="28"/>
      <c r="P545" s="28"/>
      <c r="Q545" s="28"/>
      <c r="R545" s="28"/>
      <c r="S545" s="28"/>
      <c r="T545" s="28"/>
      <c r="U545" s="7"/>
      <c r="V545" s="28"/>
      <c r="W545" s="28"/>
      <c r="X545" s="2"/>
      <c r="Y545" s="2"/>
      <c r="Z545" s="2"/>
    </row>
    <row r="546" spans="1:26" ht="19.5" customHeight="1">
      <c r="A546" s="28"/>
      <c r="B546" s="28"/>
      <c r="C546" s="28"/>
      <c r="D546" s="29"/>
      <c r="E546" s="29"/>
      <c r="F546" s="28"/>
      <c r="G546" s="28"/>
      <c r="H546" s="28"/>
      <c r="I546" s="28"/>
      <c r="J546" s="28"/>
      <c r="K546" s="28"/>
      <c r="L546" s="28"/>
      <c r="M546" s="28"/>
      <c r="N546" s="28"/>
      <c r="O546" s="28"/>
      <c r="P546" s="28"/>
      <c r="Q546" s="28"/>
      <c r="R546" s="28"/>
      <c r="S546" s="28"/>
      <c r="T546" s="28"/>
      <c r="U546" s="7"/>
      <c r="V546" s="28"/>
      <c r="W546" s="28"/>
      <c r="X546" s="2"/>
      <c r="Y546" s="2"/>
      <c r="Z546" s="2"/>
    </row>
    <row r="547" spans="1:26" ht="19.5" customHeight="1">
      <c r="A547" s="28"/>
      <c r="B547" s="28"/>
      <c r="C547" s="28"/>
      <c r="D547" s="29"/>
      <c r="E547" s="29"/>
      <c r="F547" s="28"/>
      <c r="G547" s="28"/>
      <c r="H547" s="28"/>
      <c r="I547" s="28"/>
      <c r="J547" s="28"/>
      <c r="K547" s="28"/>
      <c r="L547" s="28"/>
      <c r="M547" s="28"/>
      <c r="N547" s="28"/>
      <c r="O547" s="28"/>
      <c r="P547" s="28"/>
      <c r="Q547" s="28"/>
      <c r="R547" s="28"/>
      <c r="S547" s="28"/>
      <c r="T547" s="28"/>
      <c r="U547" s="7"/>
      <c r="V547" s="28"/>
      <c r="W547" s="28"/>
      <c r="X547" s="2"/>
      <c r="Y547" s="2"/>
      <c r="Z547" s="2"/>
    </row>
    <row r="548" spans="1:26" ht="19.5" customHeight="1">
      <c r="A548" s="28"/>
      <c r="B548" s="28"/>
      <c r="C548" s="28"/>
      <c r="D548" s="29"/>
      <c r="E548" s="29"/>
      <c r="F548" s="28"/>
      <c r="G548" s="28"/>
      <c r="H548" s="28"/>
      <c r="I548" s="28"/>
      <c r="J548" s="28"/>
      <c r="K548" s="28"/>
      <c r="L548" s="28"/>
      <c r="M548" s="28"/>
      <c r="N548" s="28"/>
      <c r="O548" s="28"/>
      <c r="P548" s="28"/>
      <c r="Q548" s="28"/>
      <c r="R548" s="28"/>
      <c r="S548" s="28"/>
      <c r="T548" s="28"/>
      <c r="U548" s="7"/>
      <c r="V548" s="28"/>
      <c r="W548" s="28"/>
      <c r="X548" s="2"/>
      <c r="Y548" s="2"/>
      <c r="Z548" s="2"/>
    </row>
    <row r="549" spans="1:26" ht="19.5" customHeight="1">
      <c r="A549" s="28"/>
      <c r="B549" s="28"/>
      <c r="C549" s="28"/>
      <c r="D549" s="29"/>
      <c r="E549" s="29"/>
      <c r="F549" s="28"/>
      <c r="G549" s="28"/>
      <c r="H549" s="28"/>
      <c r="I549" s="28"/>
      <c r="J549" s="28"/>
      <c r="K549" s="28"/>
      <c r="L549" s="28"/>
      <c r="M549" s="28"/>
      <c r="N549" s="28"/>
      <c r="O549" s="28"/>
      <c r="P549" s="28"/>
      <c r="Q549" s="28"/>
      <c r="R549" s="28"/>
      <c r="S549" s="28"/>
      <c r="T549" s="28"/>
      <c r="U549" s="7"/>
      <c r="V549" s="28"/>
      <c r="W549" s="28"/>
      <c r="X549" s="2"/>
      <c r="Y549" s="2"/>
      <c r="Z549" s="2"/>
    </row>
    <row r="550" spans="1:26" ht="19.5" customHeight="1">
      <c r="A550" s="28"/>
      <c r="B550" s="28"/>
      <c r="C550" s="28"/>
      <c r="D550" s="29"/>
      <c r="E550" s="29"/>
      <c r="F550" s="28"/>
      <c r="G550" s="28"/>
      <c r="H550" s="28"/>
      <c r="I550" s="28"/>
      <c r="J550" s="28"/>
      <c r="K550" s="28"/>
      <c r="L550" s="28"/>
      <c r="M550" s="28"/>
      <c r="N550" s="28"/>
      <c r="O550" s="28"/>
      <c r="P550" s="28"/>
      <c r="Q550" s="28"/>
      <c r="R550" s="28"/>
      <c r="S550" s="28"/>
      <c r="T550" s="28"/>
      <c r="U550" s="7"/>
      <c r="V550" s="28"/>
      <c r="W550" s="28"/>
      <c r="X550" s="2"/>
      <c r="Y550" s="2"/>
      <c r="Z550" s="2"/>
    </row>
    <row r="551" spans="1:26" ht="19.5" customHeight="1">
      <c r="A551" s="28"/>
      <c r="B551" s="28"/>
      <c r="C551" s="28"/>
      <c r="D551" s="29"/>
      <c r="E551" s="29"/>
      <c r="F551" s="28"/>
      <c r="G551" s="28"/>
      <c r="H551" s="28"/>
      <c r="I551" s="28"/>
      <c r="J551" s="28"/>
      <c r="K551" s="28"/>
      <c r="L551" s="28"/>
      <c r="M551" s="28"/>
      <c r="N551" s="28"/>
      <c r="O551" s="28"/>
      <c r="P551" s="28"/>
      <c r="Q551" s="28"/>
      <c r="R551" s="28"/>
      <c r="S551" s="28"/>
      <c r="T551" s="28"/>
      <c r="U551" s="7"/>
      <c r="V551" s="28"/>
      <c r="W551" s="28"/>
      <c r="X551" s="2"/>
      <c r="Y551" s="2"/>
      <c r="Z551" s="2"/>
    </row>
    <row r="552" spans="1:26" ht="19.5" customHeight="1">
      <c r="A552" s="28"/>
      <c r="B552" s="28"/>
      <c r="C552" s="28"/>
      <c r="D552" s="29"/>
      <c r="E552" s="29"/>
      <c r="F552" s="28"/>
      <c r="G552" s="28"/>
      <c r="H552" s="28"/>
      <c r="I552" s="28"/>
      <c r="J552" s="28"/>
      <c r="K552" s="28"/>
      <c r="L552" s="28"/>
      <c r="M552" s="28"/>
      <c r="N552" s="28"/>
      <c r="O552" s="28"/>
      <c r="P552" s="28"/>
      <c r="Q552" s="28"/>
      <c r="R552" s="28"/>
      <c r="S552" s="28"/>
      <c r="T552" s="28"/>
      <c r="U552" s="7"/>
      <c r="V552" s="28"/>
      <c r="W552" s="28"/>
      <c r="X552" s="2"/>
      <c r="Y552" s="2"/>
      <c r="Z552" s="2"/>
    </row>
    <row r="553" spans="1:26" ht="19.5" customHeight="1">
      <c r="A553" s="28"/>
      <c r="B553" s="28"/>
      <c r="C553" s="28"/>
      <c r="D553" s="29"/>
      <c r="E553" s="29"/>
      <c r="F553" s="28"/>
      <c r="G553" s="28"/>
      <c r="H553" s="28"/>
      <c r="I553" s="28"/>
      <c r="J553" s="28"/>
      <c r="K553" s="28"/>
      <c r="L553" s="28"/>
      <c r="M553" s="28"/>
      <c r="N553" s="28"/>
      <c r="O553" s="28"/>
      <c r="P553" s="28"/>
      <c r="Q553" s="28"/>
      <c r="R553" s="28"/>
      <c r="S553" s="28"/>
      <c r="T553" s="28"/>
      <c r="U553" s="7"/>
      <c r="V553" s="28"/>
      <c r="W553" s="28"/>
      <c r="X553" s="2"/>
      <c r="Y553" s="2"/>
      <c r="Z553" s="2"/>
    </row>
    <row r="554" spans="1:26" ht="19.5" customHeight="1">
      <c r="A554" s="28"/>
      <c r="B554" s="28"/>
      <c r="C554" s="28"/>
      <c r="D554" s="29"/>
      <c r="E554" s="29"/>
      <c r="F554" s="28"/>
      <c r="G554" s="28"/>
      <c r="H554" s="28"/>
      <c r="I554" s="28"/>
      <c r="J554" s="28"/>
      <c r="K554" s="28"/>
      <c r="L554" s="28"/>
      <c r="M554" s="28"/>
      <c r="N554" s="28"/>
      <c r="O554" s="28"/>
      <c r="P554" s="28"/>
      <c r="Q554" s="28"/>
      <c r="R554" s="28"/>
      <c r="S554" s="28"/>
      <c r="T554" s="28"/>
      <c r="U554" s="7"/>
      <c r="V554" s="28"/>
      <c r="W554" s="28"/>
      <c r="X554" s="2"/>
      <c r="Y554" s="2"/>
      <c r="Z554" s="2"/>
    </row>
    <row r="555" spans="1:26" ht="19.5" customHeight="1">
      <c r="A555" s="28"/>
      <c r="B555" s="28"/>
      <c r="C555" s="28"/>
      <c r="D555" s="29"/>
      <c r="E555" s="29"/>
      <c r="F555" s="28"/>
      <c r="G555" s="28"/>
      <c r="H555" s="28"/>
      <c r="I555" s="28"/>
      <c r="J555" s="28"/>
      <c r="K555" s="28"/>
      <c r="L555" s="28"/>
      <c r="M555" s="28"/>
      <c r="N555" s="28"/>
      <c r="O555" s="28"/>
      <c r="P555" s="28"/>
      <c r="Q555" s="28"/>
      <c r="R555" s="28"/>
      <c r="S555" s="28"/>
      <c r="T555" s="28"/>
      <c r="U555" s="7"/>
      <c r="V555" s="28"/>
      <c r="W555" s="28"/>
      <c r="X555" s="2"/>
      <c r="Y555" s="2"/>
      <c r="Z555" s="2"/>
    </row>
    <row r="556" spans="1:26" ht="19.5" customHeight="1">
      <c r="A556" s="28"/>
      <c r="B556" s="28"/>
      <c r="C556" s="28"/>
      <c r="D556" s="29"/>
      <c r="E556" s="29"/>
      <c r="F556" s="28"/>
      <c r="G556" s="28"/>
      <c r="H556" s="28"/>
      <c r="I556" s="28"/>
      <c r="J556" s="28"/>
      <c r="K556" s="28"/>
      <c r="L556" s="28"/>
      <c r="M556" s="28"/>
      <c r="N556" s="28"/>
      <c r="O556" s="28"/>
      <c r="P556" s="28"/>
      <c r="Q556" s="28"/>
      <c r="R556" s="28"/>
      <c r="S556" s="28"/>
      <c r="T556" s="28"/>
      <c r="U556" s="7"/>
      <c r="V556" s="28"/>
      <c r="W556" s="28"/>
      <c r="X556" s="2"/>
      <c r="Y556" s="2"/>
      <c r="Z556" s="2"/>
    </row>
    <row r="557" spans="1:26" ht="19.5" customHeight="1">
      <c r="A557" s="28"/>
      <c r="B557" s="28"/>
      <c r="C557" s="28"/>
      <c r="D557" s="29"/>
      <c r="E557" s="29"/>
      <c r="F557" s="28"/>
      <c r="G557" s="28"/>
      <c r="H557" s="28"/>
      <c r="I557" s="28"/>
      <c r="J557" s="28"/>
      <c r="K557" s="28"/>
      <c r="L557" s="28"/>
      <c r="M557" s="28"/>
      <c r="N557" s="28"/>
      <c r="O557" s="28"/>
      <c r="P557" s="28"/>
      <c r="Q557" s="28"/>
      <c r="R557" s="28"/>
      <c r="S557" s="28"/>
      <c r="T557" s="28"/>
      <c r="U557" s="7"/>
      <c r="V557" s="28"/>
      <c r="W557" s="28"/>
      <c r="X557" s="2"/>
      <c r="Y557" s="2"/>
      <c r="Z557" s="2"/>
    </row>
    <row r="558" spans="1:26" ht="19.5" customHeight="1">
      <c r="A558" s="28"/>
      <c r="B558" s="28"/>
      <c r="C558" s="28"/>
      <c r="D558" s="29"/>
      <c r="E558" s="29"/>
      <c r="F558" s="28"/>
      <c r="G558" s="28"/>
      <c r="H558" s="28"/>
      <c r="I558" s="28"/>
      <c r="J558" s="28"/>
      <c r="K558" s="28"/>
      <c r="L558" s="28"/>
      <c r="M558" s="28"/>
      <c r="N558" s="28"/>
      <c r="O558" s="28"/>
      <c r="P558" s="28"/>
      <c r="Q558" s="28"/>
      <c r="R558" s="28"/>
      <c r="S558" s="28"/>
      <c r="T558" s="28"/>
      <c r="U558" s="7"/>
      <c r="V558" s="28"/>
      <c r="W558" s="28"/>
      <c r="X558" s="2"/>
      <c r="Y558" s="2"/>
      <c r="Z558" s="2"/>
    </row>
    <row r="559" spans="1:26" ht="19.5" customHeight="1">
      <c r="A559" s="28"/>
      <c r="B559" s="28"/>
      <c r="C559" s="28"/>
      <c r="D559" s="29"/>
      <c r="E559" s="29"/>
      <c r="F559" s="28"/>
      <c r="G559" s="28"/>
      <c r="H559" s="28"/>
      <c r="I559" s="28"/>
      <c r="J559" s="28"/>
      <c r="K559" s="28"/>
      <c r="L559" s="28"/>
      <c r="M559" s="28"/>
      <c r="N559" s="28"/>
      <c r="O559" s="28"/>
      <c r="P559" s="28"/>
      <c r="Q559" s="28"/>
      <c r="R559" s="28"/>
      <c r="S559" s="28"/>
      <c r="T559" s="28"/>
      <c r="U559" s="7"/>
      <c r="V559" s="28"/>
      <c r="W559" s="28"/>
      <c r="X559" s="2"/>
      <c r="Y559" s="2"/>
      <c r="Z559" s="2"/>
    </row>
    <row r="560" spans="1:26" ht="19.5" customHeight="1">
      <c r="A560" s="28"/>
      <c r="B560" s="28"/>
      <c r="C560" s="28"/>
      <c r="D560" s="29"/>
      <c r="E560" s="29"/>
      <c r="F560" s="28"/>
      <c r="G560" s="28"/>
      <c r="H560" s="28"/>
      <c r="I560" s="28"/>
      <c r="J560" s="28"/>
      <c r="K560" s="28"/>
      <c r="L560" s="28"/>
      <c r="M560" s="28"/>
      <c r="N560" s="28"/>
      <c r="O560" s="28"/>
      <c r="P560" s="28"/>
      <c r="Q560" s="28"/>
      <c r="R560" s="28"/>
      <c r="S560" s="28"/>
      <c r="T560" s="28"/>
      <c r="U560" s="7"/>
      <c r="V560" s="28"/>
      <c r="W560" s="28"/>
      <c r="X560" s="2"/>
      <c r="Y560" s="2"/>
      <c r="Z560" s="2"/>
    </row>
    <row r="561" spans="1:26" ht="19.5" customHeight="1">
      <c r="A561" s="28"/>
      <c r="B561" s="28"/>
      <c r="C561" s="28"/>
      <c r="D561" s="29"/>
      <c r="E561" s="29"/>
      <c r="F561" s="28"/>
      <c r="G561" s="28"/>
      <c r="H561" s="28"/>
      <c r="I561" s="28"/>
      <c r="J561" s="28"/>
      <c r="K561" s="28"/>
      <c r="L561" s="28"/>
      <c r="M561" s="28"/>
      <c r="N561" s="28"/>
      <c r="O561" s="28"/>
      <c r="P561" s="28"/>
      <c r="Q561" s="28"/>
      <c r="R561" s="28"/>
      <c r="S561" s="28"/>
      <c r="T561" s="28"/>
      <c r="U561" s="7"/>
      <c r="V561" s="28"/>
      <c r="W561" s="28"/>
      <c r="X561" s="2"/>
      <c r="Y561" s="2"/>
      <c r="Z561" s="2"/>
    </row>
    <row r="562" spans="1:26" ht="19.5" customHeight="1">
      <c r="A562" s="28"/>
      <c r="B562" s="28"/>
      <c r="C562" s="28"/>
      <c r="D562" s="29"/>
      <c r="E562" s="29"/>
      <c r="F562" s="28"/>
      <c r="G562" s="28"/>
      <c r="H562" s="28"/>
      <c r="I562" s="28"/>
      <c r="J562" s="28"/>
      <c r="K562" s="28"/>
      <c r="L562" s="28"/>
      <c r="M562" s="28"/>
      <c r="N562" s="28"/>
      <c r="O562" s="28"/>
      <c r="P562" s="28"/>
      <c r="Q562" s="28"/>
      <c r="R562" s="28"/>
      <c r="S562" s="28"/>
      <c r="T562" s="28"/>
      <c r="U562" s="7"/>
      <c r="V562" s="28"/>
      <c r="W562" s="28"/>
      <c r="X562" s="2"/>
      <c r="Y562" s="2"/>
      <c r="Z562" s="2"/>
    </row>
    <row r="563" spans="1:26" ht="19.5" customHeight="1">
      <c r="A563" s="28"/>
      <c r="B563" s="28"/>
      <c r="C563" s="28"/>
      <c r="D563" s="29"/>
      <c r="E563" s="29"/>
      <c r="F563" s="28"/>
      <c r="G563" s="28"/>
      <c r="H563" s="28"/>
      <c r="I563" s="28"/>
      <c r="J563" s="28"/>
      <c r="K563" s="28"/>
      <c r="L563" s="28"/>
      <c r="M563" s="28"/>
      <c r="N563" s="28"/>
      <c r="O563" s="28"/>
      <c r="P563" s="28"/>
      <c r="Q563" s="28"/>
      <c r="R563" s="28"/>
      <c r="S563" s="28"/>
      <c r="T563" s="28"/>
      <c r="U563" s="7"/>
      <c r="V563" s="28"/>
      <c r="W563" s="28"/>
      <c r="X563" s="2"/>
      <c r="Y563" s="2"/>
      <c r="Z563" s="2"/>
    </row>
    <row r="564" spans="1:26" ht="19.5" customHeight="1">
      <c r="A564" s="28"/>
      <c r="B564" s="28"/>
      <c r="C564" s="28"/>
      <c r="D564" s="29"/>
      <c r="E564" s="29"/>
      <c r="F564" s="28"/>
      <c r="G564" s="28"/>
      <c r="H564" s="28"/>
      <c r="I564" s="28"/>
      <c r="J564" s="28"/>
      <c r="K564" s="28"/>
      <c r="L564" s="28"/>
      <c r="M564" s="28"/>
      <c r="N564" s="28"/>
      <c r="O564" s="28"/>
      <c r="P564" s="28"/>
      <c r="Q564" s="28"/>
      <c r="R564" s="28"/>
      <c r="S564" s="28"/>
      <c r="T564" s="28"/>
      <c r="U564" s="7"/>
      <c r="V564" s="28"/>
      <c r="W564" s="28"/>
      <c r="X564" s="2"/>
      <c r="Y564" s="2"/>
      <c r="Z564" s="2"/>
    </row>
    <row r="565" spans="1:26" ht="19.5" customHeight="1">
      <c r="A565" s="28"/>
      <c r="B565" s="28"/>
      <c r="C565" s="28"/>
      <c r="D565" s="29"/>
      <c r="E565" s="29"/>
      <c r="F565" s="28"/>
      <c r="G565" s="28"/>
      <c r="H565" s="28"/>
      <c r="I565" s="28"/>
      <c r="J565" s="28"/>
      <c r="K565" s="28"/>
      <c r="L565" s="28"/>
      <c r="M565" s="28"/>
      <c r="N565" s="28"/>
      <c r="O565" s="28"/>
      <c r="P565" s="28"/>
      <c r="Q565" s="28"/>
      <c r="R565" s="28"/>
      <c r="S565" s="28"/>
      <c r="T565" s="28"/>
      <c r="U565" s="7"/>
      <c r="V565" s="28"/>
      <c r="W565" s="28"/>
      <c r="X565" s="2"/>
      <c r="Y565" s="2"/>
      <c r="Z565" s="2"/>
    </row>
    <row r="566" spans="1:26" ht="19.5" customHeight="1">
      <c r="A566" s="28"/>
      <c r="B566" s="28"/>
      <c r="C566" s="28"/>
      <c r="D566" s="29"/>
      <c r="E566" s="29"/>
      <c r="F566" s="28"/>
      <c r="G566" s="28"/>
      <c r="H566" s="28"/>
      <c r="I566" s="28"/>
      <c r="J566" s="28"/>
      <c r="K566" s="28"/>
      <c r="L566" s="28"/>
      <c r="M566" s="28"/>
      <c r="N566" s="28"/>
      <c r="O566" s="28"/>
      <c r="P566" s="28"/>
      <c r="Q566" s="28"/>
      <c r="R566" s="28"/>
      <c r="S566" s="28"/>
      <c r="T566" s="28"/>
      <c r="U566" s="7"/>
      <c r="V566" s="28"/>
      <c r="W566" s="28"/>
      <c r="X566" s="2"/>
      <c r="Y566" s="2"/>
      <c r="Z566" s="2"/>
    </row>
    <row r="567" spans="1:26" ht="19.5" customHeight="1">
      <c r="A567" s="28"/>
      <c r="B567" s="28"/>
      <c r="C567" s="28"/>
      <c r="D567" s="29"/>
      <c r="E567" s="29"/>
      <c r="F567" s="28"/>
      <c r="G567" s="28"/>
      <c r="H567" s="28"/>
      <c r="I567" s="28"/>
      <c r="J567" s="28"/>
      <c r="K567" s="28"/>
      <c r="L567" s="28"/>
      <c r="M567" s="28"/>
      <c r="N567" s="28"/>
      <c r="O567" s="28"/>
      <c r="P567" s="28"/>
      <c r="Q567" s="28"/>
      <c r="R567" s="28"/>
      <c r="S567" s="28"/>
      <c r="T567" s="28"/>
      <c r="U567" s="7"/>
      <c r="V567" s="28"/>
      <c r="W567" s="28"/>
      <c r="X567" s="2"/>
      <c r="Y567" s="2"/>
      <c r="Z567" s="2"/>
    </row>
    <row r="568" spans="1:26" ht="19.5" customHeight="1">
      <c r="A568" s="28"/>
      <c r="B568" s="28"/>
      <c r="C568" s="28"/>
      <c r="D568" s="29"/>
      <c r="E568" s="29"/>
      <c r="F568" s="28"/>
      <c r="G568" s="28"/>
      <c r="H568" s="28"/>
      <c r="I568" s="28"/>
      <c r="J568" s="28"/>
      <c r="K568" s="28"/>
      <c r="L568" s="28"/>
      <c r="M568" s="28"/>
      <c r="N568" s="28"/>
      <c r="O568" s="28"/>
      <c r="P568" s="28"/>
      <c r="Q568" s="28"/>
      <c r="R568" s="28"/>
      <c r="S568" s="28"/>
      <c r="T568" s="28"/>
      <c r="U568" s="7"/>
      <c r="V568" s="28"/>
      <c r="W568" s="28"/>
      <c r="X568" s="2"/>
      <c r="Y568" s="2"/>
      <c r="Z568" s="2"/>
    </row>
    <row r="569" spans="1:26" ht="19.5" customHeight="1">
      <c r="A569" s="28"/>
      <c r="B569" s="28"/>
      <c r="C569" s="28"/>
      <c r="D569" s="29"/>
      <c r="E569" s="29"/>
      <c r="F569" s="28"/>
      <c r="G569" s="28"/>
      <c r="H569" s="28"/>
      <c r="I569" s="28"/>
      <c r="J569" s="28"/>
      <c r="K569" s="28"/>
      <c r="L569" s="28"/>
      <c r="M569" s="28"/>
      <c r="N569" s="28"/>
      <c r="O569" s="28"/>
      <c r="P569" s="28"/>
      <c r="Q569" s="28"/>
      <c r="R569" s="28"/>
      <c r="S569" s="28"/>
      <c r="T569" s="28"/>
      <c r="U569" s="7"/>
      <c r="V569" s="28"/>
      <c r="W569" s="28"/>
      <c r="X569" s="2"/>
      <c r="Y569" s="2"/>
      <c r="Z569" s="2"/>
    </row>
    <row r="570" spans="1:26" ht="19.5" customHeight="1">
      <c r="A570" s="28"/>
      <c r="B570" s="28"/>
      <c r="C570" s="28"/>
      <c r="D570" s="29"/>
      <c r="E570" s="29"/>
      <c r="F570" s="28"/>
      <c r="G570" s="28"/>
      <c r="H570" s="28"/>
      <c r="I570" s="28"/>
      <c r="J570" s="28"/>
      <c r="K570" s="28"/>
      <c r="L570" s="28"/>
      <c r="M570" s="28"/>
      <c r="N570" s="28"/>
      <c r="O570" s="28"/>
      <c r="P570" s="28"/>
      <c r="Q570" s="28"/>
      <c r="R570" s="28"/>
      <c r="S570" s="28"/>
      <c r="T570" s="28"/>
      <c r="U570" s="7"/>
      <c r="V570" s="28"/>
      <c r="W570" s="28"/>
      <c r="X570" s="2"/>
      <c r="Y570" s="2"/>
      <c r="Z570" s="2"/>
    </row>
    <row r="571" spans="1:26" ht="19.5" customHeight="1">
      <c r="A571" s="28"/>
      <c r="B571" s="28"/>
      <c r="C571" s="28"/>
      <c r="D571" s="29"/>
      <c r="E571" s="29"/>
      <c r="F571" s="28"/>
      <c r="G571" s="28"/>
      <c r="H571" s="28"/>
      <c r="I571" s="28"/>
      <c r="J571" s="28"/>
      <c r="K571" s="28"/>
      <c r="L571" s="28"/>
      <c r="M571" s="28"/>
      <c r="N571" s="28"/>
      <c r="O571" s="28"/>
      <c r="P571" s="28"/>
      <c r="Q571" s="28"/>
      <c r="R571" s="28"/>
      <c r="S571" s="28"/>
      <c r="T571" s="28"/>
      <c r="U571" s="7"/>
      <c r="V571" s="28"/>
      <c r="W571" s="28"/>
      <c r="X571" s="2"/>
      <c r="Y571" s="2"/>
      <c r="Z571" s="2"/>
    </row>
    <row r="572" spans="1:26" ht="19.5" customHeight="1">
      <c r="A572" s="28"/>
      <c r="B572" s="28"/>
      <c r="C572" s="28"/>
      <c r="D572" s="29"/>
      <c r="E572" s="29"/>
      <c r="F572" s="28"/>
      <c r="G572" s="28"/>
      <c r="H572" s="28"/>
      <c r="I572" s="28"/>
      <c r="J572" s="28"/>
      <c r="K572" s="28"/>
      <c r="L572" s="28"/>
      <c r="M572" s="28"/>
      <c r="N572" s="28"/>
      <c r="O572" s="28"/>
      <c r="P572" s="28"/>
      <c r="Q572" s="28"/>
      <c r="R572" s="28"/>
      <c r="S572" s="28"/>
      <c r="T572" s="28"/>
      <c r="U572" s="7"/>
      <c r="V572" s="28"/>
      <c r="W572" s="28"/>
      <c r="X572" s="2"/>
      <c r="Y572" s="2"/>
      <c r="Z572" s="2"/>
    </row>
    <row r="573" spans="1:26" ht="19.5" customHeight="1">
      <c r="A573" s="28"/>
      <c r="B573" s="28"/>
      <c r="C573" s="28"/>
      <c r="D573" s="29"/>
      <c r="E573" s="29"/>
      <c r="F573" s="28"/>
      <c r="G573" s="28"/>
      <c r="H573" s="28"/>
      <c r="I573" s="28"/>
      <c r="J573" s="28"/>
      <c r="K573" s="28"/>
      <c r="L573" s="28"/>
      <c r="M573" s="28"/>
      <c r="N573" s="28"/>
      <c r="O573" s="28"/>
      <c r="P573" s="28"/>
      <c r="Q573" s="28"/>
      <c r="R573" s="28"/>
      <c r="S573" s="28"/>
      <c r="T573" s="28"/>
      <c r="U573" s="7"/>
      <c r="V573" s="28"/>
      <c r="W573" s="28"/>
      <c r="X573" s="2"/>
      <c r="Y573" s="2"/>
      <c r="Z573" s="2"/>
    </row>
    <row r="574" spans="1:26" ht="19.5" customHeight="1">
      <c r="A574" s="28"/>
      <c r="B574" s="28"/>
      <c r="C574" s="28"/>
      <c r="D574" s="29"/>
      <c r="E574" s="29"/>
      <c r="F574" s="28"/>
      <c r="G574" s="28"/>
      <c r="H574" s="28"/>
      <c r="I574" s="28"/>
      <c r="J574" s="28"/>
      <c r="K574" s="28"/>
      <c r="L574" s="28"/>
      <c r="M574" s="28"/>
      <c r="N574" s="28"/>
      <c r="O574" s="28"/>
      <c r="P574" s="28"/>
      <c r="Q574" s="28"/>
      <c r="R574" s="28"/>
      <c r="S574" s="28"/>
      <c r="T574" s="28"/>
      <c r="U574" s="7"/>
      <c r="V574" s="28"/>
      <c r="W574" s="28"/>
      <c r="X574" s="2"/>
      <c r="Y574" s="2"/>
      <c r="Z574" s="2"/>
    </row>
    <row r="575" spans="1:26" ht="19.5" customHeight="1">
      <c r="A575" s="28"/>
      <c r="B575" s="28"/>
      <c r="C575" s="28"/>
      <c r="D575" s="29"/>
      <c r="E575" s="29"/>
      <c r="F575" s="28"/>
      <c r="G575" s="28"/>
      <c r="H575" s="28"/>
      <c r="I575" s="28"/>
      <c r="J575" s="28"/>
      <c r="K575" s="28"/>
      <c r="L575" s="28"/>
      <c r="M575" s="28"/>
      <c r="N575" s="28"/>
      <c r="O575" s="28"/>
      <c r="P575" s="28"/>
      <c r="Q575" s="28"/>
      <c r="R575" s="28"/>
      <c r="S575" s="28"/>
      <c r="T575" s="28"/>
      <c r="U575" s="7"/>
      <c r="V575" s="28"/>
      <c r="W575" s="28"/>
      <c r="X575" s="2"/>
      <c r="Y575" s="2"/>
      <c r="Z575" s="2"/>
    </row>
    <row r="576" spans="1:26" ht="19.5" customHeight="1">
      <c r="A576" s="28"/>
      <c r="B576" s="28"/>
      <c r="C576" s="28"/>
      <c r="D576" s="29"/>
      <c r="E576" s="29"/>
      <c r="F576" s="28"/>
      <c r="G576" s="28"/>
      <c r="H576" s="28"/>
      <c r="I576" s="28"/>
      <c r="J576" s="28"/>
      <c r="K576" s="28"/>
      <c r="L576" s="28"/>
      <c r="M576" s="28"/>
      <c r="N576" s="28"/>
      <c r="O576" s="28"/>
      <c r="P576" s="28"/>
      <c r="Q576" s="28"/>
      <c r="R576" s="28"/>
      <c r="S576" s="28"/>
      <c r="T576" s="28"/>
      <c r="U576" s="7"/>
      <c r="V576" s="28"/>
      <c r="W576" s="28"/>
      <c r="X576" s="2"/>
      <c r="Y576" s="2"/>
      <c r="Z576" s="2"/>
    </row>
    <row r="577" spans="1:26" ht="19.5" customHeight="1">
      <c r="A577" s="28"/>
      <c r="B577" s="28"/>
      <c r="C577" s="28"/>
      <c r="D577" s="29"/>
      <c r="E577" s="29"/>
      <c r="F577" s="28"/>
      <c r="G577" s="28"/>
      <c r="H577" s="28"/>
      <c r="I577" s="28"/>
      <c r="J577" s="28"/>
      <c r="K577" s="28"/>
      <c r="L577" s="28"/>
      <c r="M577" s="28"/>
      <c r="N577" s="28"/>
      <c r="O577" s="28"/>
      <c r="P577" s="28"/>
      <c r="Q577" s="28"/>
      <c r="R577" s="28"/>
      <c r="S577" s="28"/>
      <c r="T577" s="28"/>
      <c r="U577" s="7"/>
      <c r="V577" s="28"/>
      <c r="W577" s="28"/>
      <c r="X577" s="2"/>
      <c r="Y577" s="2"/>
      <c r="Z577" s="2"/>
    </row>
    <row r="578" spans="1:26" ht="19.5" customHeight="1">
      <c r="A578" s="28"/>
      <c r="B578" s="28"/>
      <c r="C578" s="28"/>
      <c r="D578" s="29"/>
      <c r="E578" s="29"/>
      <c r="F578" s="28"/>
      <c r="G578" s="28"/>
      <c r="H578" s="28"/>
      <c r="I578" s="28"/>
      <c r="J578" s="28"/>
      <c r="K578" s="28"/>
      <c r="L578" s="28"/>
      <c r="M578" s="28"/>
      <c r="N578" s="28"/>
      <c r="O578" s="28"/>
      <c r="P578" s="28"/>
      <c r="Q578" s="28"/>
      <c r="R578" s="28"/>
      <c r="S578" s="28"/>
      <c r="T578" s="28"/>
      <c r="U578" s="7"/>
      <c r="V578" s="28"/>
      <c r="W578" s="28"/>
      <c r="X578" s="2"/>
      <c r="Y578" s="2"/>
      <c r="Z578" s="2"/>
    </row>
    <row r="579" spans="1:26" ht="19.5" customHeight="1">
      <c r="A579" s="28"/>
      <c r="B579" s="28"/>
      <c r="C579" s="28"/>
      <c r="D579" s="29"/>
      <c r="E579" s="29"/>
      <c r="F579" s="28"/>
      <c r="G579" s="28"/>
      <c r="H579" s="28"/>
      <c r="I579" s="28"/>
      <c r="J579" s="28"/>
      <c r="K579" s="28"/>
      <c r="L579" s="28"/>
      <c r="M579" s="28"/>
      <c r="N579" s="28"/>
      <c r="O579" s="28"/>
      <c r="P579" s="28"/>
      <c r="Q579" s="28"/>
      <c r="R579" s="28"/>
      <c r="S579" s="28"/>
      <c r="T579" s="28"/>
      <c r="U579" s="7"/>
      <c r="V579" s="28"/>
      <c r="W579" s="28"/>
      <c r="X579" s="2"/>
      <c r="Y579" s="2"/>
      <c r="Z579" s="2"/>
    </row>
    <row r="580" spans="1:26" ht="19.5" customHeight="1">
      <c r="A580" s="28"/>
      <c r="B580" s="28"/>
      <c r="C580" s="28"/>
      <c r="D580" s="29"/>
      <c r="E580" s="29"/>
      <c r="F580" s="28"/>
      <c r="G580" s="28"/>
      <c r="H580" s="28"/>
      <c r="I580" s="28"/>
      <c r="J580" s="28"/>
      <c r="K580" s="28"/>
      <c r="L580" s="28"/>
      <c r="M580" s="28"/>
      <c r="N580" s="28"/>
      <c r="O580" s="28"/>
      <c r="P580" s="28"/>
      <c r="Q580" s="28"/>
      <c r="R580" s="28"/>
      <c r="S580" s="28"/>
      <c r="T580" s="28"/>
      <c r="U580" s="7"/>
      <c r="V580" s="28"/>
      <c r="W580" s="28"/>
      <c r="X580" s="2"/>
      <c r="Y580" s="2"/>
      <c r="Z580" s="2"/>
    </row>
    <row r="581" spans="1:26" ht="19.5" customHeight="1">
      <c r="A581" s="28"/>
      <c r="B581" s="28"/>
      <c r="C581" s="28"/>
      <c r="D581" s="29"/>
      <c r="E581" s="29"/>
      <c r="F581" s="28"/>
      <c r="G581" s="28"/>
      <c r="H581" s="28"/>
      <c r="I581" s="28"/>
      <c r="J581" s="28"/>
      <c r="K581" s="28"/>
      <c r="L581" s="28"/>
      <c r="M581" s="28"/>
      <c r="N581" s="28"/>
      <c r="O581" s="28"/>
      <c r="P581" s="28"/>
      <c r="Q581" s="28"/>
      <c r="R581" s="28"/>
      <c r="S581" s="28"/>
      <c r="T581" s="28"/>
      <c r="U581" s="7"/>
      <c r="V581" s="28"/>
      <c r="W581" s="28"/>
      <c r="X581" s="2"/>
      <c r="Y581" s="2"/>
      <c r="Z581" s="2"/>
    </row>
    <row r="582" spans="1:26" ht="19.5" customHeight="1">
      <c r="A582" s="28"/>
      <c r="B582" s="28"/>
      <c r="C582" s="28"/>
      <c r="D582" s="29"/>
      <c r="E582" s="29"/>
      <c r="F582" s="28"/>
      <c r="G582" s="28"/>
      <c r="H582" s="28"/>
      <c r="I582" s="28"/>
      <c r="J582" s="28"/>
      <c r="K582" s="28"/>
      <c r="L582" s="28"/>
      <c r="M582" s="28"/>
      <c r="N582" s="28"/>
      <c r="O582" s="28"/>
      <c r="P582" s="28"/>
      <c r="Q582" s="28"/>
      <c r="R582" s="28"/>
      <c r="S582" s="28"/>
      <c r="T582" s="28"/>
      <c r="U582" s="7"/>
      <c r="V582" s="28"/>
      <c r="W582" s="28"/>
      <c r="X582" s="2"/>
      <c r="Y582" s="2"/>
      <c r="Z582" s="2"/>
    </row>
    <row r="583" spans="1:26" ht="19.5" customHeight="1">
      <c r="A583" s="28"/>
      <c r="B583" s="28"/>
      <c r="C583" s="28"/>
      <c r="D583" s="29"/>
      <c r="E583" s="29"/>
      <c r="F583" s="28"/>
      <c r="G583" s="28"/>
      <c r="H583" s="28"/>
      <c r="I583" s="28"/>
      <c r="J583" s="28"/>
      <c r="K583" s="28"/>
      <c r="L583" s="28"/>
      <c r="M583" s="28"/>
      <c r="N583" s="28"/>
      <c r="O583" s="28"/>
      <c r="P583" s="28"/>
      <c r="Q583" s="28"/>
      <c r="R583" s="28"/>
      <c r="S583" s="28"/>
      <c r="T583" s="28"/>
      <c r="U583" s="7"/>
      <c r="V583" s="28"/>
      <c r="W583" s="28"/>
      <c r="X583" s="2"/>
      <c r="Y583" s="2"/>
      <c r="Z583" s="2"/>
    </row>
    <row r="584" spans="1:26" ht="19.5" customHeight="1">
      <c r="A584" s="28"/>
      <c r="B584" s="28"/>
      <c r="C584" s="28"/>
      <c r="D584" s="29"/>
      <c r="E584" s="29"/>
      <c r="F584" s="28"/>
      <c r="G584" s="28"/>
      <c r="H584" s="28"/>
      <c r="I584" s="28"/>
      <c r="J584" s="28"/>
      <c r="K584" s="28"/>
      <c r="L584" s="28"/>
      <c r="M584" s="28"/>
      <c r="N584" s="28"/>
      <c r="O584" s="28"/>
      <c r="P584" s="28"/>
      <c r="Q584" s="28"/>
      <c r="R584" s="28"/>
      <c r="S584" s="28"/>
      <c r="T584" s="28"/>
      <c r="U584" s="7"/>
      <c r="V584" s="28"/>
      <c r="W584" s="28"/>
      <c r="X584" s="2"/>
      <c r="Y584" s="2"/>
      <c r="Z584" s="2"/>
    </row>
    <row r="585" spans="1:26" ht="19.5" customHeight="1">
      <c r="A585" s="28"/>
      <c r="B585" s="28"/>
      <c r="C585" s="28"/>
      <c r="D585" s="29"/>
      <c r="E585" s="29"/>
      <c r="F585" s="28"/>
      <c r="G585" s="28"/>
      <c r="H585" s="28"/>
      <c r="I585" s="28"/>
      <c r="J585" s="28"/>
      <c r="K585" s="28"/>
      <c r="L585" s="28"/>
      <c r="M585" s="28"/>
      <c r="N585" s="28"/>
      <c r="O585" s="28"/>
      <c r="P585" s="28"/>
      <c r="Q585" s="28"/>
      <c r="R585" s="28"/>
      <c r="S585" s="28"/>
      <c r="T585" s="28"/>
      <c r="U585" s="7"/>
      <c r="V585" s="28"/>
      <c r="W585" s="28"/>
      <c r="X585" s="2"/>
      <c r="Y585" s="2"/>
      <c r="Z585" s="2"/>
    </row>
    <row r="586" spans="1:26" ht="19.5" customHeight="1">
      <c r="A586" s="28"/>
      <c r="B586" s="28"/>
      <c r="C586" s="28"/>
      <c r="D586" s="29"/>
      <c r="E586" s="29"/>
      <c r="F586" s="28"/>
      <c r="G586" s="28"/>
      <c r="H586" s="28"/>
      <c r="I586" s="28"/>
      <c r="J586" s="28"/>
      <c r="K586" s="28"/>
      <c r="L586" s="28"/>
      <c r="M586" s="28"/>
      <c r="N586" s="28"/>
      <c r="O586" s="28"/>
      <c r="P586" s="28"/>
      <c r="Q586" s="28"/>
      <c r="R586" s="28"/>
      <c r="S586" s="28"/>
      <c r="T586" s="28"/>
      <c r="U586" s="7"/>
      <c r="V586" s="28"/>
      <c r="W586" s="28"/>
      <c r="X586" s="2"/>
      <c r="Y586" s="2"/>
      <c r="Z586" s="2"/>
    </row>
    <row r="587" spans="1:26" ht="19.5" customHeight="1">
      <c r="A587" s="28"/>
      <c r="B587" s="28"/>
      <c r="C587" s="28"/>
      <c r="D587" s="29"/>
      <c r="E587" s="29"/>
      <c r="F587" s="28"/>
      <c r="G587" s="28"/>
      <c r="H587" s="28"/>
      <c r="I587" s="28"/>
      <c r="J587" s="28"/>
      <c r="K587" s="28"/>
      <c r="L587" s="28"/>
      <c r="M587" s="28"/>
      <c r="N587" s="28"/>
      <c r="O587" s="28"/>
      <c r="P587" s="28"/>
      <c r="Q587" s="28"/>
      <c r="R587" s="28"/>
      <c r="S587" s="28"/>
      <c r="T587" s="28"/>
      <c r="U587" s="7"/>
      <c r="V587" s="28"/>
      <c r="W587" s="28"/>
      <c r="X587" s="2"/>
      <c r="Y587" s="2"/>
      <c r="Z587" s="2"/>
    </row>
    <row r="588" spans="1:26" ht="19.5" customHeight="1">
      <c r="A588" s="28"/>
      <c r="B588" s="28"/>
      <c r="C588" s="28"/>
      <c r="D588" s="29"/>
      <c r="E588" s="29"/>
      <c r="F588" s="28"/>
      <c r="G588" s="28"/>
      <c r="H588" s="28"/>
      <c r="I588" s="28"/>
      <c r="J588" s="28"/>
      <c r="K588" s="28"/>
      <c r="L588" s="28"/>
      <c r="M588" s="28"/>
      <c r="N588" s="28"/>
      <c r="O588" s="28"/>
      <c r="P588" s="28"/>
      <c r="Q588" s="28"/>
      <c r="R588" s="28"/>
      <c r="S588" s="28"/>
      <c r="T588" s="28"/>
      <c r="U588" s="7"/>
      <c r="V588" s="28"/>
      <c r="W588" s="28"/>
      <c r="X588" s="2"/>
      <c r="Y588" s="2"/>
      <c r="Z588" s="2"/>
    </row>
    <row r="589" spans="1:26" ht="19.5" customHeight="1">
      <c r="A589" s="28"/>
      <c r="B589" s="28"/>
      <c r="C589" s="28"/>
      <c r="D589" s="29"/>
      <c r="E589" s="29"/>
      <c r="F589" s="28"/>
      <c r="G589" s="28"/>
      <c r="H589" s="28"/>
      <c r="I589" s="28"/>
      <c r="J589" s="28"/>
      <c r="K589" s="28"/>
      <c r="L589" s="28"/>
      <c r="M589" s="28"/>
      <c r="N589" s="28"/>
      <c r="O589" s="28"/>
      <c r="P589" s="28"/>
      <c r="Q589" s="28"/>
      <c r="R589" s="28"/>
      <c r="S589" s="28"/>
      <c r="T589" s="28"/>
      <c r="U589" s="7"/>
      <c r="V589" s="28"/>
      <c r="W589" s="28"/>
      <c r="X589" s="2"/>
      <c r="Y589" s="2"/>
      <c r="Z589" s="2"/>
    </row>
    <row r="590" spans="1:26" ht="19.5" customHeight="1">
      <c r="A590" s="28"/>
      <c r="B590" s="28"/>
      <c r="C590" s="28"/>
      <c r="D590" s="29"/>
      <c r="E590" s="29"/>
      <c r="F590" s="28"/>
      <c r="G590" s="28"/>
      <c r="H590" s="28"/>
      <c r="I590" s="28"/>
      <c r="J590" s="28"/>
      <c r="K590" s="28"/>
      <c r="L590" s="28"/>
      <c r="M590" s="28"/>
      <c r="N590" s="28"/>
      <c r="O590" s="28"/>
      <c r="P590" s="28"/>
      <c r="Q590" s="28"/>
      <c r="R590" s="28"/>
      <c r="S590" s="28"/>
      <c r="T590" s="28"/>
      <c r="U590" s="7"/>
      <c r="V590" s="28"/>
      <c r="W590" s="28"/>
      <c r="X590" s="2"/>
      <c r="Y590" s="2"/>
      <c r="Z590" s="2"/>
    </row>
    <row r="591" spans="1:26" ht="19.5" customHeight="1">
      <c r="A591" s="28"/>
      <c r="B591" s="28"/>
      <c r="C591" s="28"/>
      <c r="D591" s="29"/>
      <c r="E591" s="29"/>
      <c r="F591" s="28"/>
      <c r="G591" s="28"/>
      <c r="H591" s="28"/>
      <c r="I591" s="28"/>
      <c r="J591" s="28"/>
      <c r="K591" s="28"/>
      <c r="L591" s="28"/>
      <c r="M591" s="28"/>
      <c r="N591" s="28"/>
      <c r="O591" s="28"/>
      <c r="P591" s="28"/>
      <c r="Q591" s="28"/>
      <c r="R591" s="28"/>
      <c r="S591" s="28"/>
      <c r="T591" s="28"/>
      <c r="U591" s="7"/>
      <c r="V591" s="28"/>
      <c r="W591" s="28"/>
      <c r="X591" s="2"/>
      <c r="Y591" s="2"/>
      <c r="Z591" s="2"/>
    </row>
    <row r="592" spans="1:26" ht="19.5" customHeight="1">
      <c r="A592" s="28"/>
      <c r="B592" s="28"/>
      <c r="C592" s="28"/>
      <c r="D592" s="29"/>
      <c r="E592" s="29"/>
      <c r="F592" s="28"/>
      <c r="G592" s="28"/>
      <c r="H592" s="28"/>
      <c r="I592" s="28"/>
      <c r="J592" s="28"/>
      <c r="K592" s="28"/>
      <c r="L592" s="28"/>
      <c r="M592" s="28"/>
      <c r="N592" s="28"/>
      <c r="O592" s="28"/>
      <c r="P592" s="28"/>
      <c r="Q592" s="28"/>
      <c r="R592" s="28"/>
      <c r="S592" s="28"/>
      <c r="T592" s="28"/>
      <c r="U592" s="7"/>
      <c r="V592" s="28"/>
      <c r="W592" s="28"/>
      <c r="X592" s="2"/>
      <c r="Y592" s="2"/>
      <c r="Z592" s="2"/>
    </row>
    <row r="593" spans="1:26" ht="19.5" customHeight="1">
      <c r="A593" s="28"/>
      <c r="B593" s="28"/>
      <c r="C593" s="28"/>
      <c r="D593" s="29"/>
      <c r="E593" s="29"/>
      <c r="F593" s="28"/>
      <c r="G593" s="28"/>
      <c r="H593" s="28"/>
      <c r="I593" s="28"/>
      <c r="J593" s="28"/>
      <c r="K593" s="28"/>
      <c r="L593" s="28"/>
      <c r="M593" s="28"/>
      <c r="N593" s="28"/>
      <c r="O593" s="28"/>
      <c r="P593" s="28"/>
      <c r="Q593" s="28"/>
      <c r="R593" s="28"/>
      <c r="S593" s="28"/>
      <c r="T593" s="28"/>
      <c r="U593" s="7"/>
      <c r="V593" s="28"/>
      <c r="W593" s="28"/>
      <c r="X593" s="2"/>
      <c r="Y593" s="2"/>
      <c r="Z593" s="2"/>
    </row>
    <row r="594" spans="1:26" ht="19.5" customHeight="1">
      <c r="A594" s="28"/>
      <c r="B594" s="28"/>
      <c r="C594" s="28"/>
      <c r="D594" s="29"/>
      <c r="E594" s="29"/>
      <c r="F594" s="28"/>
      <c r="G594" s="28"/>
      <c r="H594" s="28"/>
      <c r="I594" s="28"/>
      <c r="J594" s="28"/>
      <c r="K594" s="28"/>
      <c r="L594" s="28"/>
      <c r="M594" s="28"/>
      <c r="N594" s="28"/>
      <c r="O594" s="28"/>
      <c r="P594" s="28"/>
      <c r="Q594" s="28"/>
      <c r="R594" s="28"/>
      <c r="S594" s="28"/>
      <c r="T594" s="28"/>
      <c r="U594" s="7"/>
      <c r="V594" s="28"/>
      <c r="W594" s="28"/>
      <c r="X594" s="2"/>
      <c r="Y594" s="2"/>
      <c r="Z594" s="2"/>
    </row>
    <row r="595" spans="1:26" ht="19.5" customHeight="1">
      <c r="A595" s="28"/>
      <c r="B595" s="28"/>
      <c r="C595" s="28"/>
      <c r="D595" s="29"/>
      <c r="E595" s="29"/>
      <c r="F595" s="28"/>
      <c r="G595" s="28"/>
      <c r="H595" s="28"/>
      <c r="I595" s="28"/>
      <c r="J595" s="28"/>
      <c r="K595" s="28"/>
      <c r="L595" s="28"/>
      <c r="M595" s="28"/>
      <c r="N595" s="28"/>
      <c r="O595" s="28"/>
      <c r="P595" s="28"/>
      <c r="Q595" s="28"/>
      <c r="R595" s="28"/>
      <c r="S595" s="28"/>
      <c r="T595" s="28"/>
      <c r="U595" s="7"/>
      <c r="V595" s="28"/>
      <c r="W595" s="28"/>
      <c r="X595" s="2"/>
      <c r="Y595" s="2"/>
      <c r="Z595" s="2"/>
    </row>
    <row r="596" spans="1:26" ht="19.5" customHeight="1">
      <c r="A596" s="28"/>
      <c r="B596" s="28"/>
      <c r="C596" s="28"/>
      <c r="D596" s="29"/>
      <c r="E596" s="29"/>
      <c r="F596" s="28"/>
      <c r="G596" s="28"/>
      <c r="H596" s="28"/>
      <c r="I596" s="28"/>
      <c r="J596" s="28"/>
      <c r="K596" s="28"/>
      <c r="L596" s="28"/>
      <c r="M596" s="28"/>
      <c r="N596" s="28"/>
      <c r="O596" s="28"/>
      <c r="P596" s="28"/>
      <c r="Q596" s="28"/>
      <c r="R596" s="28"/>
      <c r="S596" s="28"/>
      <c r="T596" s="28"/>
      <c r="U596" s="7"/>
      <c r="V596" s="28"/>
      <c r="W596" s="28"/>
      <c r="X596" s="2"/>
      <c r="Y596" s="2"/>
      <c r="Z596" s="2"/>
    </row>
    <row r="597" spans="1:26" ht="19.5" customHeight="1">
      <c r="A597" s="28"/>
      <c r="B597" s="28"/>
      <c r="C597" s="28"/>
      <c r="D597" s="29"/>
      <c r="E597" s="29"/>
      <c r="F597" s="28"/>
      <c r="G597" s="28"/>
      <c r="H597" s="28"/>
      <c r="I597" s="28"/>
      <c r="J597" s="28"/>
      <c r="K597" s="28"/>
      <c r="L597" s="28"/>
      <c r="M597" s="28"/>
      <c r="N597" s="28"/>
      <c r="O597" s="28"/>
      <c r="P597" s="28"/>
      <c r="Q597" s="28"/>
      <c r="R597" s="28"/>
      <c r="S597" s="28"/>
      <c r="T597" s="28"/>
      <c r="U597" s="7"/>
      <c r="V597" s="28"/>
      <c r="W597" s="28"/>
      <c r="X597" s="2"/>
      <c r="Y597" s="2"/>
      <c r="Z597" s="2"/>
    </row>
    <row r="598" spans="1:26" ht="19.5" customHeight="1">
      <c r="A598" s="28"/>
      <c r="B598" s="28"/>
      <c r="C598" s="28"/>
      <c r="D598" s="29"/>
      <c r="E598" s="29"/>
      <c r="F598" s="28"/>
      <c r="G598" s="28"/>
      <c r="H598" s="28"/>
      <c r="I598" s="28"/>
      <c r="J598" s="28"/>
      <c r="K598" s="28"/>
      <c r="L598" s="28"/>
      <c r="M598" s="28"/>
      <c r="N598" s="28"/>
      <c r="O598" s="28"/>
      <c r="P598" s="28"/>
      <c r="Q598" s="28"/>
      <c r="R598" s="28"/>
      <c r="S598" s="28"/>
      <c r="T598" s="28"/>
      <c r="U598" s="7"/>
      <c r="V598" s="28"/>
      <c r="W598" s="28"/>
      <c r="X598" s="2"/>
      <c r="Y598" s="2"/>
      <c r="Z598" s="2"/>
    </row>
    <row r="599" spans="1:26" ht="19.5" customHeight="1">
      <c r="A599" s="28"/>
      <c r="B599" s="28"/>
      <c r="C599" s="28"/>
      <c r="D599" s="29"/>
      <c r="E599" s="29"/>
      <c r="F599" s="28"/>
      <c r="G599" s="28"/>
      <c r="H599" s="28"/>
      <c r="I599" s="28"/>
      <c r="J599" s="28"/>
      <c r="K599" s="28"/>
      <c r="L599" s="28"/>
      <c r="M599" s="28"/>
      <c r="N599" s="28"/>
      <c r="O599" s="28"/>
      <c r="P599" s="28"/>
      <c r="Q599" s="28"/>
      <c r="R599" s="28"/>
      <c r="S599" s="28"/>
      <c r="T599" s="28"/>
      <c r="U599" s="7"/>
      <c r="V599" s="28"/>
      <c r="W599" s="28"/>
      <c r="X599" s="2"/>
      <c r="Y599" s="2"/>
      <c r="Z599" s="2"/>
    </row>
    <row r="600" spans="1:26" ht="19.5" customHeight="1">
      <c r="A600" s="28"/>
      <c r="B600" s="28"/>
      <c r="C600" s="28"/>
      <c r="D600" s="29"/>
      <c r="E600" s="29"/>
      <c r="F600" s="28"/>
      <c r="G600" s="28"/>
      <c r="H600" s="28"/>
      <c r="I600" s="28"/>
      <c r="J600" s="28"/>
      <c r="K600" s="28"/>
      <c r="L600" s="28"/>
      <c r="M600" s="28"/>
      <c r="N600" s="28"/>
      <c r="O600" s="28"/>
      <c r="P600" s="28"/>
      <c r="Q600" s="28"/>
      <c r="R600" s="28"/>
      <c r="S600" s="28"/>
      <c r="T600" s="28"/>
      <c r="U600" s="7"/>
      <c r="V600" s="28"/>
      <c r="W600" s="28"/>
      <c r="X600" s="2"/>
      <c r="Y600" s="2"/>
      <c r="Z600" s="2"/>
    </row>
    <row r="601" spans="1:26" ht="19.5" customHeight="1">
      <c r="A601" s="28"/>
      <c r="B601" s="28"/>
      <c r="C601" s="28"/>
      <c r="D601" s="29"/>
      <c r="E601" s="29"/>
      <c r="F601" s="28"/>
      <c r="G601" s="28"/>
      <c r="H601" s="28"/>
      <c r="I601" s="28"/>
      <c r="J601" s="28"/>
      <c r="K601" s="28"/>
      <c r="L601" s="28"/>
      <c r="M601" s="28"/>
      <c r="N601" s="28"/>
      <c r="O601" s="28"/>
      <c r="P601" s="28"/>
      <c r="Q601" s="28"/>
      <c r="R601" s="28"/>
      <c r="S601" s="28"/>
      <c r="T601" s="28"/>
      <c r="U601" s="7"/>
      <c r="V601" s="28"/>
      <c r="W601" s="28"/>
      <c r="X601" s="2"/>
      <c r="Y601" s="2"/>
      <c r="Z601" s="2"/>
    </row>
    <row r="602" spans="1:26" ht="19.5" customHeight="1">
      <c r="A602" s="28"/>
      <c r="B602" s="28"/>
      <c r="C602" s="28"/>
      <c r="D602" s="29"/>
      <c r="E602" s="29"/>
      <c r="F602" s="28"/>
      <c r="G602" s="28"/>
      <c r="H602" s="28"/>
      <c r="I602" s="28"/>
      <c r="J602" s="28"/>
      <c r="K602" s="28"/>
      <c r="L602" s="28"/>
      <c r="M602" s="28"/>
      <c r="N602" s="28"/>
      <c r="O602" s="28"/>
      <c r="P602" s="28"/>
      <c r="Q602" s="28"/>
      <c r="R602" s="28"/>
      <c r="S602" s="28"/>
      <c r="T602" s="28"/>
      <c r="U602" s="7"/>
      <c r="V602" s="28"/>
      <c r="W602" s="28"/>
      <c r="X602" s="2"/>
      <c r="Y602" s="2"/>
      <c r="Z602" s="2"/>
    </row>
    <row r="603" spans="1:26" ht="19.5" customHeight="1">
      <c r="A603" s="28"/>
      <c r="B603" s="28"/>
      <c r="C603" s="28"/>
      <c r="D603" s="29"/>
      <c r="E603" s="29"/>
      <c r="F603" s="28"/>
      <c r="G603" s="28"/>
      <c r="H603" s="28"/>
      <c r="I603" s="28"/>
      <c r="J603" s="28"/>
      <c r="K603" s="28"/>
      <c r="L603" s="28"/>
      <c r="M603" s="28"/>
      <c r="N603" s="28"/>
      <c r="O603" s="28"/>
      <c r="P603" s="28"/>
      <c r="Q603" s="28"/>
      <c r="R603" s="28"/>
      <c r="S603" s="28"/>
      <c r="T603" s="28"/>
      <c r="U603" s="7"/>
      <c r="V603" s="28"/>
      <c r="W603" s="28"/>
      <c r="X603" s="2"/>
      <c r="Y603" s="2"/>
      <c r="Z603" s="2"/>
    </row>
    <row r="604" spans="1:26" ht="19.5" customHeight="1">
      <c r="A604" s="28"/>
      <c r="B604" s="28"/>
      <c r="C604" s="28"/>
      <c r="D604" s="29"/>
      <c r="E604" s="29"/>
      <c r="F604" s="28"/>
      <c r="G604" s="28"/>
      <c r="H604" s="28"/>
      <c r="I604" s="28"/>
      <c r="J604" s="28"/>
      <c r="K604" s="28"/>
      <c r="L604" s="28"/>
      <c r="M604" s="28"/>
      <c r="N604" s="28"/>
      <c r="O604" s="28"/>
      <c r="P604" s="28"/>
      <c r="Q604" s="28"/>
      <c r="R604" s="28"/>
      <c r="S604" s="28"/>
      <c r="T604" s="28"/>
      <c r="U604" s="7"/>
      <c r="V604" s="28"/>
      <c r="W604" s="28"/>
      <c r="X604" s="2"/>
      <c r="Y604" s="2"/>
      <c r="Z604" s="2"/>
    </row>
    <row r="605" spans="1:26" ht="19.5" customHeight="1">
      <c r="A605" s="28"/>
      <c r="B605" s="28"/>
      <c r="C605" s="28"/>
      <c r="D605" s="29"/>
      <c r="E605" s="29"/>
      <c r="F605" s="28"/>
      <c r="G605" s="28"/>
      <c r="H605" s="28"/>
      <c r="I605" s="28"/>
      <c r="J605" s="28"/>
      <c r="K605" s="28"/>
      <c r="L605" s="28"/>
      <c r="M605" s="28"/>
      <c r="N605" s="28"/>
      <c r="O605" s="28"/>
      <c r="P605" s="28"/>
      <c r="Q605" s="28"/>
      <c r="R605" s="28"/>
      <c r="S605" s="28"/>
      <c r="T605" s="28"/>
      <c r="U605" s="7"/>
      <c r="V605" s="28"/>
      <c r="W605" s="28"/>
      <c r="X605" s="2"/>
      <c r="Y605" s="2"/>
      <c r="Z605" s="2"/>
    </row>
    <row r="606" spans="1:26" ht="19.5" customHeight="1">
      <c r="A606" s="28"/>
      <c r="B606" s="28"/>
      <c r="C606" s="28"/>
      <c r="D606" s="29"/>
      <c r="E606" s="29"/>
      <c r="F606" s="28"/>
      <c r="G606" s="28"/>
      <c r="H606" s="28"/>
      <c r="I606" s="28"/>
      <c r="J606" s="28"/>
      <c r="K606" s="28"/>
      <c r="L606" s="28"/>
      <c r="M606" s="28"/>
      <c r="N606" s="28"/>
      <c r="O606" s="28"/>
      <c r="P606" s="28"/>
      <c r="Q606" s="28"/>
      <c r="R606" s="28"/>
      <c r="S606" s="28"/>
      <c r="T606" s="28"/>
      <c r="U606" s="7"/>
      <c r="V606" s="28"/>
      <c r="W606" s="28"/>
      <c r="X606" s="2"/>
      <c r="Y606" s="2"/>
      <c r="Z606" s="2"/>
    </row>
    <row r="607" spans="1:26" ht="19.5" customHeight="1">
      <c r="A607" s="28"/>
      <c r="B607" s="28"/>
      <c r="C607" s="28"/>
      <c r="D607" s="29"/>
      <c r="E607" s="29"/>
      <c r="F607" s="28"/>
      <c r="G607" s="28"/>
      <c r="H607" s="28"/>
      <c r="I607" s="28"/>
      <c r="J607" s="28"/>
      <c r="K607" s="28"/>
      <c r="L607" s="28"/>
      <c r="M607" s="28"/>
      <c r="N607" s="28"/>
      <c r="O607" s="28"/>
      <c r="P607" s="28"/>
      <c r="Q607" s="28"/>
      <c r="R607" s="28"/>
      <c r="S607" s="28"/>
      <c r="T607" s="28"/>
      <c r="U607" s="7"/>
      <c r="V607" s="28"/>
      <c r="W607" s="28"/>
      <c r="X607" s="2"/>
      <c r="Y607" s="2"/>
      <c r="Z607" s="2"/>
    </row>
    <row r="608" spans="1:26" ht="19.5" customHeight="1">
      <c r="A608" s="28"/>
      <c r="B608" s="28"/>
      <c r="C608" s="28"/>
      <c r="D608" s="29"/>
      <c r="E608" s="29"/>
      <c r="F608" s="28"/>
      <c r="G608" s="28"/>
      <c r="H608" s="28"/>
      <c r="I608" s="28"/>
      <c r="J608" s="28"/>
      <c r="K608" s="28"/>
      <c r="L608" s="28"/>
      <c r="M608" s="28"/>
      <c r="N608" s="28"/>
      <c r="O608" s="28"/>
      <c r="P608" s="28"/>
      <c r="Q608" s="28"/>
      <c r="R608" s="28"/>
      <c r="S608" s="28"/>
      <c r="T608" s="28"/>
      <c r="U608" s="7"/>
      <c r="V608" s="28"/>
      <c r="W608" s="28"/>
      <c r="X608" s="2"/>
      <c r="Y608" s="2"/>
      <c r="Z608" s="2"/>
    </row>
    <row r="609" spans="1:26" ht="19.5" customHeight="1">
      <c r="A609" s="28"/>
      <c r="B609" s="28"/>
      <c r="C609" s="28"/>
      <c r="D609" s="29"/>
      <c r="E609" s="29"/>
      <c r="F609" s="28"/>
      <c r="G609" s="28"/>
      <c r="H609" s="28"/>
      <c r="I609" s="28"/>
      <c r="J609" s="28"/>
      <c r="K609" s="28"/>
      <c r="L609" s="28"/>
      <c r="M609" s="28"/>
      <c r="N609" s="28"/>
      <c r="O609" s="28"/>
      <c r="P609" s="28"/>
      <c r="Q609" s="28"/>
      <c r="R609" s="28"/>
      <c r="S609" s="28"/>
      <c r="T609" s="28"/>
      <c r="U609" s="7"/>
      <c r="V609" s="28"/>
      <c r="W609" s="28"/>
      <c r="X609" s="2"/>
      <c r="Y609" s="2"/>
      <c r="Z609" s="2"/>
    </row>
    <row r="610" spans="1:26" ht="19.5" customHeight="1">
      <c r="A610" s="28"/>
      <c r="B610" s="28"/>
      <c r="C610" s="28"/>
      <c r="D610" s="29"/>
      <c r="E610" s="29"/>
      <c r="F610" s="28"/>
      <c r="G610" s="28"/>
      <c r="H610" s="28"/>
      <c r="I610" s="28"/>
      <c r="J610" s="28"/>
      <c r="K610" s="28"/>
      <c r="L610" s="28"/>
      <c r="M610" s="28"/>
      <c r="N610" s="28"/>
      <c r="O610" s="28"/>
      <c r="P610" s="28"/>
      <c r="Q610" s="28"/>
      <c r="R610" s="28"/>
      <c r="S610" s="28"/>
      <c r="T610" s="28"/>
      <c r="U610" s="7"/>
      <c r="V610" s="28"/>
      <c r="W610" s="28"/>
      <c r="X610" s="2"/>
      <c r="Y610" s="2"/>
      <c r="Z610" s="2"/>
    </row>
    <row r="611" spans="1:26" ht="19.5" customHeight="1">
      <c r="A611" s="28"/>
      <c r="B611" s="28"/>
      <c r="C611" s="28"/>
      <c r="D611" s="29"/>
      <c r="E611" s="29"/>
      <c r="F611" s="28"/>
      <c r="G611" s="28"/>
      <c r="H611" s="28"/>
      <c r="I611" s="28"/>
      <c r="J611" s="28"/>
      <c r="K611" s="28"/>
      <c r="L611" s="28"/>
      <c r="M611" s="28"/>
      <c r="N611" s="28"/>
      <c r="O611" s="28"/>
      <c r="P611" s="28"/>
      <c r="Q611" s="28"/>
      <c r="R611" s="28"/>
      <c r="S611" s="28"/>
      <c r="T611" s="28"/>
      <c r="U611" s="7"/>
      <c r="V611" s="28"/>
      <c r="W611" s="28"/>
      <c r="X611" s="2"/>
      <c r="Y611" s="2"/>
      <c r="Z611" s="2"/>
    </row>
    <row r="612" spans="1:26" ht="19.5" customHeight="1">
      <c r="A612" s="28"/>
      <c r="B612" s="28"/>
      <c r="C612" s="28"/>
      <c r="D612" s="29"/>
      <c r="E612" s="29"/>
      <c r="F612" s="28"/>
      <c r="G612" s="28"/>
      <c r="H612" s="28"/>
      <c r="I612" s="28"/>
      <c r="J612" s="28"/>
      <c r="K612" s="28"/>
      <c r="L612" s="28"/>
      <c r="M612" s="28"/>
      <c r="N612" s="28"/>
      <c r="O612" s="28"/>
      <c r="P612" s="28"/>
      <c r="Q612" s="28"/>
      <c r="R612" s="28"/>
      <c r="S612" s="28"/>
      <c r="T612" s="28"/>
      <c r="U612" s="7"/>
      <c r="V612" s="28"/>
      <c r="W612" s="28"/>
      <c r="X612" s="2"/>
      <c r="Y612" s="2"/>
      <c r="Z612" s="2"/>
    </row>
    <row r="613" spans="1:26" ht="19.5" customHeight="1">
      <c r="A613" s="28"/>
      <c r="B613" s="28"/>
      <c r="C613" s="28"/>
      <c r="D613" s="29"/>
      <c r="E613" s="29"/>
      <c r="F613" s="28"/>
      <c r="G613" s="28"/>
      <c r="H613" s="28"/>
      <c r="I613" s="28"/>
      <c r="J613" s="28"/>
      <c r="K613" s="28"/>
      <c r="L613" s="28"/>
      <c r="M613" s="28"/>
      <c r="N613" s="28"/>
      <c r="O613" s="28"/>
      <c r="P613" s="28"/>
      <c r="Q613" s="28"/>
      <c r="R613" s="28"/>
      <c r="S613" s="28"/>
      <c r="T613" s="28"/>
      <c r="U613" s="7"/>
      <c r="V613" s="28"/>
      <c r="W613" s="28"/>
      <c r="X613" s="2"/>
      <c r="Y613" s="2"/>
      <c r="Z613" s="2"/>
    </row>
    <row r="614" spans="1:26" ht="19.5" customHeight="1">
      <c r="A614" s="28"/>
      <c r="B614" s="28"/>
      <c r="C614" s="28"/>
      <c r="D614" s="29"/>
      <c r="E614" s="29"/>
      <c r="F614" s="28"/>
      <c r="G614" s="28"/>
      <c r="H614" s="28"/>
      <c r="I614" s="28"/>
      <c r="J614" s="28"/>
      <c r="K614" s="28"/>
      <c r="L614" s="28"/>
      <c r="M614" s="28"/>
      <c r="N614" s="28"/>
      <c r="O614" s="28"/>
      <c r="P614" s="28"/>
      <c r="Q614" s="28"/>
      <c r="R614" s="28"/>
      <c r="S614" s="28"/>
      <c r="T614" s="28"/>
      <c r="U614" s="7"/>
      <c r="V614" s="28"/>
      <c r="W614" s="28"/>
      <c r="X614" s="2"/>
      <c r="Y614" s="2"/>
      <c r="Z614" s="2"/>
    </row>
    <row r="615" spans="1:26" ht="19.5" customHeight="1">
      <c r="A615" s="28"/>
      <c r="B615" s="28"/>
      <c r="C615" s="28"/>
      <c r="D615" s="29"/>
      <c r="E615" s="29"/>
      <c r="F615" s="28"/>
      <c r="G615" s="28"/>
      <c r="H615" s="28"/>
      <c r="I615" s="28"/>
      <c r="J615" s="28"/>
      <c r="K615" s="28"/>
      <c r="L615" s="28"/>
      <c r="M615" s="28"/>
      <c r="N615" s="28"/>
      <c r="O615" s="28"/>
      <c r="P615" s="28"/>
      <c r="Q615" s="28"/>
      <c r="R615" s="28"/>
      <c r="S615" s="28"/>
      <c r="T615" s="28"/>
      <c r="U615" s="7"/>
      <c r="V615" s="28"/>
      <c r="W615" s="28"/>
      <c r="X615" s="2"/>
      <c r="Y615" s="2"/>
      <c r="Z615" s="2"/>
    </row>
    <row r="616" spans="1:26" ht="19.5" customHeight="1">
      <c r="A616" s="28"/>
      <c r="B616" s="28"/>
      <c r="C616" s="28"/>
      <c r="D616" s="29"/>
      <c r="E616" s="29"/>
      <c r="F616" s="28"/>
      <c r="G616" s="28"/>
      <c r="H616" s="28"/>
      <c r="I616" s="28"/>
      <c r="J616" s="28"/>
      <c r="K616" s="28"/>
      <c r="L616" s="28"/>
      <c r="M616" s="28"/>
      <c r="N616" s="28"/>
      <c r="O616" s="28"/>
      <c r="P616" s="28"/>
      <c r="Q616" s="28"/>
      <c r="R616" s="28"/>
      <c r="S616" s="28"/>
      <c r="T616" s="28"/>
      <c r="U616" s="7"/>
      <c r="V616" s="28"/>
      <c r="W616" s="28"/>
      <c r="X616" s="2"/>
      <c r="Y616" s="2"/>
      <c r="Z616" s="2"/>
    </row>
    <row r="617" spans="1:26" ht="19.5" customHeight="1">
      <c r="A617" s="28"/>
      <c r="B617" s="28"/>
      <c r="C617" s="28"/>
      <c r="D617" s="29"/>
      <c r="E617" s="29"/>
      <c r="F617" s="28"/>
      <c r="G617" s="28"/>
      <c r="H617" s="28"/>
      <c r="I617" s="28"/>
      <c r="J617" s="28"/>
      <c r="K617" s="28"/>
      <c r="L617" s="28"/>
      <c r="M617" s="28"/>
      <c r="N617" s="28"/>
      <c r="O617" s="28"/>
      <c r="P617" s="28"/>
      <c r="Q617" s="28"/>
      <c r="R617" s="28"/>
      <c r="S617" s="28"/>
      <c r="T617" s="28"/>
      <c r="U617" s="7"/>
      <c r="V617" s="28"/>
      <c r="W617" s="28"/>
      <c r="X617" s="2"/>
      <c r="Y617" s="2"/>
      <c r="Z617" s="2"/>
    </row>
    <row r="618" spans="1:26" ht="19.5" customHeight="1">
      <c r="A618" s="28"/>
      <c r="B618" s="28"/>
      <c r="C618" s="28"/>
      <c r="D618" s="29"/>
      <c r="E618" s="29"/>
      <c r="F618" s="28"/>
      <c r="G618" s="28"/>
      <c r="H618" s="28"/>
      <c r="I618" s="28"/>
      <c r="J618" s="28"/>
      <c r="K618" s="28"/>
      <c r="L618" s="28"/>
      <c r="M618" s="28"/>
      <c r="N618" s="28"/>
      <c r="O618" s="28"/>
      <c r="P618" s="28"/>
      <c r="Q618" s="28"/>
      <c r="R618" s="28"/>
      <c r="S618" s="28"/>
      <c r="T618" s="28"/>
      <c r="U618" s="7"/>
      <c r="V618" s="28"/>
      <c r="W618" s="28"/>
      <c r="X618" s="2"/>
      <c r="Y618" s="2"/>
      <c r="Z618" s="2"/>
    </row>
    <row r="619" spans="1:26" ht="19.5" customHeight="1">
      <c r="A619" s="28"/>
      <c r="B619" s="28"/>
      <c r="C619" s="28"/>
      <c r="D619" s="29"/>
      <c r="E619" s="29"/>
      <c r="F619" s="28"/>
      <c r="G619" s="28"/>
      <c r="H619" s="28"/>
      <c r="I619" s="28"/>
      <c r="J619" s="28"/>
      <c r="K619" s="28"/>
      <c r="L619" s="28"/>
      <c r="M619" s="28"/>
      <c r="N619" s="28"/>
      <c r="O619" s="28"/>
      <c r="P619" s="28"/>
      <c r="Q619" s="28"/>
      <c r="R619" s="28"/>
      <c r="S619" s="28"/>
      <c r="T619" s="28"/>
      <c r="U619" s="7"/>
      <c r="V619" s="28"/>
      <c r="W619" s="28"/>
      <c r="X619" s="2"/>
      <c r="Y619" s="2"/>
      <c r="Z619" s="2"/>
    </row>
    <row r="620" spans="1:26" ht="19.5" customHeight="1">
      <c r="A620" s="28"/>
      <c r="B620" s="28"/>
      <c r="C620" s="28"/>
      <c r="D620" s="29"/>
      <c r="E620" s="29"/>
      <c r="F620" s="28"/>
      <c r="G620" s="28"/>
      <c r="H620" s="28"/>
      <c r="I620" s="28"/>
      <c r="J620" s="28"/>
      <c r="K620" s="28"/>
      <c r="L620" s="28"/>
      <c r="M620" s="28"/>
      <c r="N620" s="28"/>
      <c r="O620" s="28"/>
      <c r="P620" s="28"/>
      <c r="Q620" s="28"/>
      <c r="R620" s="28"/>
      <c r="S620" s="28"/>
      <c r="T620" s="28"/>
      <c r="U620" s="7"/>
      <c r="V620" s="28"/>
      <c r="W620" s="28"/>
      <c r="X620" s="2"/>
      <c r="Y620" s="2"/>
      <c r="Z620" s="2"/>
    </row>
    <row r="621" spans="1:26" ht="19.5" customHeight="1">
      <c r="A621" s="28"/>
      <c r="B621" s="28"/>
      <c r="C621" s="28"/>
      <c r="D621" s="29"/>
      <c r="E621" s="29"/>
      <c r="F621" s="28"/>
      <c r="G621" s="28"/>
      <c r="H621" s="28"/>
      <c r="I621" s="28"/>
      <c r="J621" s="28"/>
      <c r="K621" s="28"/>
      <c r="L621" s="28"/>
      <c r="M621" s="28"/>
      <c r="N621" s="28"/>
      <c r="O621" s="28"/>
      <c r="P621" s="28"/>
      <c r="Q621" s="28"/>
      <c r="R621" s="28"/>
      <c r="S621" s="28"/>
      <c r="T621" s="28"/>
      <c r="U621" s="7"/>
      <c r="V621" s="28"/>
      <c r="W621" s="28"/>
      <c r="X621" s="2"/>
      <c r="Y621" s="2"/>
      <c r="Z621" s="2"/>
    </row>
    <row r="622" spans="1:26" ht="19.5" customHeight="1">
      <c r="A622" s="28"/>
      <c r="B622" s="28"/>
      <c r="C622" s="28"/>
      <c r="D622" s="29"/>
      <c r="E622" s="29"/>
      <c r="F622" s="28"/>
      <c r="G622" s="28"/>
      <c r="H622" s="28"/>
      <c r="I622" s="28"/>
      <c r="J622" s="28"/>
      <c r="K622" s="28"/>
      <c r="L622" s="28"/>
      <c r="M622" s="28"/>
      <c r="N622" s="28"/>
      <c r="O622" s="28"/>
      <c r="P622" s="28"/>
      <c r="Q622" s="28"/>
      <c r="R622" s="28"/>
      <c r="S622" s="28"/>
      <c r="T622" s="28"/>
      <c r="U622" s="7"/>
      <c r="V622" s="28"/>
      <c r="W622" s="28"/>
      <c r="X622" s="2"/>
      <c r="Y622" s="2"/>
      <c r="Z622" s="2"/>
    </row>
    <row r="623" spans="1:26" ht="19.5" customHeight="1">
      <c r="A623" s="28"/>
      <c r="B623" s="28"/>
      <c r="C623" s="28"/>
      <c r="D623" s="29"/>
      <c r="E623" s="29"/>
      <c r="F623" s="28"/>
      <c r="G623" s="28"/>
      <c r="H623" s="28"/>
      <c r="I623" s="28"/>
      <c r="J623" s="28"/>
      <c r="K623" s="28"/>
      <c r="L623" s="28"/>
      <c r="M623" s="28"/>
      <c r="N623" s="28"/>
      <c r="O623" s="28"/>
      <c r="P623" s="28"/>
      <c r="Q623" s="28"/>
      <c r="R623" s="28"/>
      <c r="S623" s="28"/>
      <c r="T623" s="28"/>
      <c r="U623" s="7"/>
      <c r="V623" s="28"/>
      <c r="W623" s="28"/>
      <c r="X623" s="2"/>
      <c r="Y623" s="2"/>
      <c r="Z623" s="2"/>
    </row>
    <row r="624" spans="1:26" ht="19.5" customHeight="1">
      <c r="A624" s="28"/>
      <c r="B624" s="28"/>
      <c r="C624" s="28"/>
      <c r="D624" s="29"/>
      <c r="E624" s="29"/>
      <c r="F624" s="28"/>
      <c r="G624" s="28"/>
      <c r="H624" s="28"/>
      <c r="I624" s="28"/>
      <c r="J624" s="28"/>
      <c r="K624" s="28"/>
      <c r="L624" s="28"/>
      <c r="M624" s="28"/>
      <c r="N624" s="28"/>
      <c r="O624" s="28"/>
      <c r="P624" s="28"/>
      <c r="Q624" s="28"/>
      <c r="R624" s="28"/>
      <c r="S624" s="28"/>
      <c r="T624" s="28"/>
      <c r="U624" s="7"/>
      <c r="V624" s="28"/>
      <c r="W624" s="28"/>
      <c r="X624" s="2"/>
      <c r="Y624" s="2"/>
      <c r="Z624" s="2"/>
    </row>
    <row r="625" spans="1:26" ht="19.5" customHeight="1">
      <c r="A625" s="28"/>
      <c r="B625" s="28"/>
      <c r="C625" s="28"/>
      <c r="D625" s="29"/>
      <c r="E625" s="29"/>
      <c r="F625" s="28"/>
      <c r="G625" s="28"/>
      <c r="H625" s="28"/>
      <c r="I625" s="28"/>
      <c r="J625" s="28"/>
      <c r="K625" s="28"/>
      <c r="L625" s="28"/>
      <c r="M625" s="28"/>
      <c r="N625" s="28"/>
      <c r="O625" s="28"/>
      <c r="P625" s="28"/>
      <c r="Q625" s="28"/>
      <c r="R625" s="28"/>
      <c r="S625" s="28"/>
      <c r="T625" s="28"/>
      <c r="U625" s="7"/>
      <c r="V625" s="28"/>
      <c r="W625" s="28"/>
      <c r="X625" s="2"/>
      <c r="Y625" s="2"/>
      <c r="Z625" s="2"/>
    </row>
    <row r="626" spans="1:26" ht="19.5" customHeight="1">
      <c r="A626" s="28"/>
      <c r="B626" s="28"/>
      <c r="C626" s="28"/>
      <c r="D626" s="29"/>
      <c r="E626" s="29"/>
      <c r="F626" s="28"/>
      <c r="G626" s="28"/>
      <c r="H626" s="28"/>
      <c r="I626" s="28"/>
      <c r="J626" s="28"/>
      <c r="K626" s="28"/>
      <c r="L626" s="28"/>
      <c r="M626" s="28"/>
      <c r="N626" s="28"/>
      <c r="O626" s="28"/>
      <c r="P626" s="28"/>
      <c r="Q626" s="28"/>
      <c r="R626" s="28"/>
      <c r="S626" s="28"/>
      <c r="T626" s="28"/>
      <c r="U626" s="7"/>
      <c r="V626" s="28"/>
      <c r="W626" s="28"/>
      <c r="X626" s="2"/>
      <c r="Y626" s="2"/>
      <c r="Z626" s="2"/>
    </row>
    <row r="627" spans="1:26" ht="19.5" customHeight="1">
      <c r="A627" s="28"/>
      <c r="B627" s="28"/>
      <c r="C627" s="28"/>
      <c r="D627" s="29"/>
      <c r="E627" s="29"/>
      <c r="F627" s="28"/>
      <c r="G627" s="28"/>
      <c r="H627" s="28"/>
      <c r="I627" s="28"/>
      <c r="J627" s="28"/>
      <c r="K627" s="28"/>
      <c r="L627" s="28"/>
      <c r="M627" s="28"/>
      <c r="N627" s="28"/>
      <c r="O627" s="28"/>
      <c r="P627" s="28"/>
      <c r="Q627" s="28"/>
      <c r="R627" s="28"/>
      <c r="S627" s="28"/>
      <c r="T627" s="28"/>
      <c r="U627" s="7"/>
      <c r="V627" s="28"/>
      <c r="W627" s="28"/>
      <c r="X627" s="2"/>
      <c r="Y627" s="2"/>
      <c r="Z627" s="2"/>
    </row>
    <row r="628" spans="1:26" ht="19.5" customHeight="1">
      <c r="A628" s="28"/>
      <c r="B628" s="28"/>
      <c r="C628" s="28"/>
      <c r="D628" s="29"/>
      <c r="E628" s="29"/>
      <c r="F628" s="28"/>
      <c r="G628" s="28"/>
      <c r="H628" s="28"/>
      <c r="I628" s="28"/>
      <c r="J628" s="28"/>
      <c r="K628" s="28"/>
      <c r="L628" s="28"/>
      <c r="M628" s="28"/>
      <c r="N628" s="28"/>
      <c r="O628" s="28"/>
      <c r="P628" s="28"/>
      <c r="Q628" s="28"/>
      <c r="R628" s="28"/>
      <c r="S628" s="28"/>
      <c r="T628" s="28"/>
      <c r="U628" s="7"/>
      <c r="V628" s="28"/>
      <c r="W628" s="28"/>
      <c r="X628" s="2"/>
      <c r="Y628" s="2"/>
      <c r="Z628" s="2"/>
    </row>
    <row r="629" spans="1:26" ht="19.5" customHeight="1">
      <c r="A629" s="28"/>
      <c r="B629" s="28"/>
      <c r="C629" s="28"/>
      <c r="D629" s="29"/>
      <c r="E629" s="29"/>
      <c r="F629" s="28"/>
      <c r="G629" s="28"/>
      <c r="H629" s="28"/>
      <c r="I629" s="28"/>
      <c r="J629" s="28"/>
      <c r="K629" s="28"/>
      <c r="L629" s="28"/>
      <c r="M629" s="28"/>
      <c r="N629" s="28"/>
      <c r="O629" s="28"/>
      <c r="P629" s="28"/>
      <c r="Q629" s="28"/>
      <c r="R629" s="28"/>
      <c r="S629" s="28"/>
      <c r="T629" s="28"/>
      <c r="U629" s="7"/>
      <c r="V629" s="28"/>
      <c r="W629" s="28"/>
      <c r="X629" s="2"/>
      <c r="Y629" s="2"/>
      <c r="Z629" s="2"/>
    </row>
    <row r="630" spans="1:26" ht="19.5" customHeight="1">
      <c r="A630" s="28"/>
      <c r="B630" s="28"/>
      <c r="C630" s="28"/>
      <c r="D630" s="29"/>
      <c r="E630" s="29"/>
      <c r="F630" s="28"/>
      <c r="G630" s="28"/>
      <c r="H630" s="28"/>
      <c r="I630" s="28"/>
      <c r="J630" s="28"/>
      <c r="K630" s="28"/>
      <c r="L630" s="28"/>
      <c r="M630" s="28"/>
      <c r="N630" s="28"/>
      <c r="O630" s="28"/>
      <c r="P630" s="28"/>
      <c r="Q630" s="28"/>
      <c r="R630" s="28"/>
      <c r="S630" s="28"/>
      <c r="T630" s="28"/>
      <c r="U630" s="7"/>
      <c r="V630" s="28"/>
      <c r="W630" s="28"/>
      <c r="X630" s="2"/>
      <c r="Y630" s="2"/>
      <c r="Z630" s="2"/>
    </row>
    <row r="631" spans="1:26" ht="19.5" customHeight="1">
      <c r="A631" s="28"/>
      <c r="B631" s="28"/>
      <c r="C631" s="28"/>
      <c r="D631" s="29"/>
      <c r="E631" s="29"/>
      <c r="F631" s="28"/>
      <c r="G631" s="28"/>
      <c r="H631" s="28"/>
      <c r="I631" s="28"/>
      <c r="J631" s="28"/>
      <c r="K631" s="28"/>
      <c r="L631" s="28"/>
      <c r="M631" s="28"/>
      <c r="N631" s="28"/>
      <c r="O631" s="28"/>
      <c r="P631" s="28"/>
      <c r="Q631" s="28"/>
      <c r="R631" s="28"/>
      <c r="S631" s="28"/>
      <c r="T631" s="28"/>
      <c r="U631" s="7"/>
      <c r="V631" s="28"/>
      <c r="W631" s="28"/>
      <c r="X631" s="2"/>
      <c r="Y631" s="2"/>
      <c r="Z631" s="2"/>
    </row>
    <row r="632" spans="1:26" ht="19.5" customHeight="1">
      <c r="A632" s="28"/>
      <c r="B632" s="28"/>
      <c r="C632" s="28"/>
      <c r="D632" s="29"/>
      <c r="E632" s="29"/>
      <c r="F632" s="28"/>
      <c r="G632" s="28"/>
      <c r="H632" s="28"/>
      <c r="I632" s="28"/>
      <c r="J632" s="28"/>
      <c r="K632" s="28"/>
      <c r="L632" s="28"/>
      <c r="M632" s="28"/>
      <c r="N632" s="28"/>
      <c r="O632" s="28"/>
      <c r="P632" s="28"/>
      <c r="Q632" s="28"/>
      <c r="R632" s="28"/>
      <c r="S632" s="28"/>
      <c r="T632" s="28"/>
      <c r="U632" s="7"/>
      <c r="V632" s="28"/>
      <c r="W632" s="28"/>
      <c r="X632" s="2"/>
      <c r="Y632" s="2"/>
      <c r="Z632" s="2"/>
    </row>
    <row r="633" spans="1:26" ht="19.5" customHeight="1">
      <c r="A633" s="28"/>
      <c r="B633" s="28"/>
      <c r="C633" s="28"/>
      <c r="D633" s="29"/>
      <c r="E633" s="29"/>
      <c r="F633" s="28"/>
      <c r="G633" s="28"/>
      <c r="H633" s="28"/>
      <c r="I633" s="28"/>
      <c r="J633" s="28"/>
      <c r="K633" s="28"/>
      <c r="L633" s="28"/>
      <c r="M633" s="28"/>
      <c r="N633" s="28"/>
      <c r="O633" s="28"/>
      <c r="P633" s="28"/>
      <c r="Q633" s="28"/>
      <c r="R633" s="28"/>
      <c r="S633" s="28"/>
      <c r="T633" s="28"/>
      <c r="U633" s="7"/>
      <c r="V633" s="28"/>
      <c r="W633" s="28"/>
      <c r="X633" s="2"/>
      <c r="Y633" s="2"/>
      <c r="Z633" s="2"/>
    </row>
    <row r="634" spans="1:26" ht="19.5" customHeight="1">
      <c r="A634" s="28"/>
      <c r="B634" s="28"/>
      <c r="C634" s="28"/>
      <c r="D634" s="29"/>
      <c r="E634" s="29"/>
      <c r="F634" s="28"/>
      <c r="G634" s="28"/>
      <c r="H634" s="28"/>
      <c r="I634" s="28"/>
      <c r="J634" s="28"/>
      <c r="K634" s="28"/>
      <c r="L634" s="28"/>
      <c r="M634" s="28"/>
      <c r="N634" s="28"/>
      <c r="O634" s="28"/>
      <c r="P634" s="28"/>
      <c r="Q634" s="28"/>
      <c r="R634" s="28"/>
      <c r="S634" s="28"/>
      <c r="T634" s="28"/>
      <c r="U634" s="7"/>
      <c r="V634" s="28"/>
      <c r="W634" s="28"/>
      <c r="X634" s="2"/>
      <c r="Y634" s="2"/>
      <c r="Z634" s="2"/>
    </row>
    <row r="635" spans="1:26" ht="19.5" customHeight="1">
      <c r="A635" s="28"/>
      <c r="B635" s="28"/>
      <c r="C635" s="28"/>
      <c r="D635" s="29"/>
      <c r="E635" s="29"/>
      <c r="F635" s="28"/>
      <c r="G635" s="28"/>
      <c r="H635" s="28"/>
      <c r="I635" s="28"/>
      <c r="J635" s="28"/>
      <c r="K635" s="28"/>
      <c r="L635" s="28"/>
      <c r="M635" s="28"/>
      <c r="N635" s="28"/>
      <c r="O635" s="28"/>
      <c r="P635" s="28"/>
      <c r="Q635" s="28"/>
      <c r="R635" s="28"/>
      <c r="S635" s="28"/>
      <c r="T635" s="28"/>
      <c r="U635" s="7"/>
      <c r="V635" s="28"/>
      <c r="W635" s="28"/>
      <c r="X635" s="2"/>
      <c r="Y635" s="2"/>
      <c r="Z635" s="2"/>
    </row>
    <row r="636" spans="1:26" ht="19.5" customHeight="1">
      <c r="A636" s="28"/>
      <c r="B636" s="28"/>
      <c r="C636" s="28"/>
      <c r="D636" s="29"/>
      <c r="E636" s="29"/>
      <c r="F636" s="28"/>
      <c r="G636" s="28"/>
      <c r="H636" s="28"/>
      <c r="I636" s="28"/>
      <c r="J636" s="28"/>
      <c r="K636" s="28"/>
      <c r="L636" s="28"/>
      <c r="M636" s="28"/>
      <c r="N636" s="28"/>
      <c r="O636" s="28"/>
      <c r="P636" s="28"/>
      <c r="Q636" s="28"/>
      <c r="R636" s="28"/>
      <c r="S636" s="28"/>
      <c r="T636" s="28"/>
      <c r="U636" s="7"/>
      <c r="V636" s="28"/>
      <c r="W636" s="28"/>
      <c r="X636" s="2"/>
      <c r="Y636" s="2"/>
      <c r="Z636" s="2"/>
    </row>
    <row r="637" spans="1:26" ht="19.5" customHeight="1">
      <c r="A637" s="28"/>
      <c r="B637" s="28"/>
      <c r="C637" s="28"/>
      <c r="D637" s="29"/>
      <c r="E637" s="29"/>
      <c r="F637" s="28"/>
      <c r="G637" s="28"/>
      <c r="H637" s="28"/>
      <c r="I637" s="28"/>
      <c r="J637" s="28"/>
      <c r="K637" s="28"/>
      <c r="L637" s="28"/>
      <c r="M637" s="28"/>
      <c r="N637" s="28"/>
      <c r="O637" s="28"/>
      <c r="P637" s="28"/>
      <c r="Q637" s="28"/>
      <c r="R637" s="28"/>
      <c r="S637" s="28"/>
      <c r="T637" s="28"/>
      <c r="U637" s="7"/>
      <c r="V637" s="28"/>
      <c r="W637" s="28"/>
      <c r="X637" s="2"/>
      <c r="Y637" s="2"/>
      <c r="Z637" s="2"/>
    </row>
    <row r="638" spans="1:26" ht="19.5" customHeight="1">
      <c r="A638" s="28"/>
      <c r="B638" s="28"/>
      <c r="C638" s="28"/>
      <c r="D638" s="29"/>
      <c r="E638" s="29"/>
      <c r="F638" s="28"/>
      <c r="G638" s="28"/>
      <c r="H638" s="28"/>
      <c r="I638" s="28"/>
      <c r="J638" s="28"/>
      <c r="K638" s="28"/>
      <c r="L638" s="28"/>
      <c r="M638" s="28"/>
      <c r="N638" s="28"/>
      <c r="O638" s="28"/>
      <c r="P638" s="28"/>
      <c r="Q638" s="28"/>
      <c r="R638" s="28"/>
      <c r="S638" s="28"/>
      <c r="T638" s="28"/>
      <c r="U638" s="7"/>
      <c r="V638" s="28"/>
      <c r="W638" s="28"/>
      <c r="X638" s="2"/>
      <c r="Y638" s="2"/>
      <c r="Z638" s="2"/>
    </row>
    <row r="639" spans="1:26" ht="19.5" customHeight="1">
      <c r="A639" s="28"/>
      <c r="B639" s="28"/>
      <c r="C639" s="28"/>
      <c r="D639" s="29"/>
      <c r="E639" s="29"/>
      <c r="F639" s="28"/>
      <c r="G639" s="28"/>
      <c r="H639" s="28"/>
      <c r="I639" s="28"/>
      <c r="J639" s="28"/>
      <c r="K639" s="28"/>
      <c r="L639" s="28"/>
      <c r="M639" s="28"/>
      <c r="N639" s="28"/>
      <c r="O639" s="28"/>
      <c r="P639" s="28"/>
      <c r="Q639" s="28"/>
      <c r="R639" s="28"/>
      <c r="S639" s="28"/>
      <c r="T639" s="28"/>
      <c r="U639" s="7"/>
      <c r="V639" s="28"/>
      <c r="W639" s="28"/>
      <c r="X639" s="2"/>
      <c r="Y639" s="2"/>
      <c r="Z639" s="2"/>
    </row>
    <row r="640" spans="1:26" ht="19.5" customHeight="1">
      <c r="A640" s="28"/>
      <c r="B640" s="28"/>
      <c r="C640" s="28"/>
      <c r="D640" s="29"/>
      <c r="E640" s="29"/>
      <c r="F640" s="28"/>
      <c r="G640" s="28"/>
      <c r="H640" s="28"/>
      <c r="I640" s="28"/>
      <c r="J640" s="28"/>
      <c r="K640" s="28"/>
      <c r="L640" s="28"/>
      <c r="M640" s="28"/>
      <c r="N640" s="28"/>
      <c r="O640" s="28"/>
      <c r="P640" s="28"/>
      <c r="Q640" s="28"/>
      <c r="R640" s="28"/>
      <c r="S640" s="28"/>
      <c r="T640" s="28"/>
      <c r="U640" s="7"/>
      <c r="V640" s="28"/>
      <c r="W640" s="28"/>
      <c r="X640" s="2"/>
      <c r="Y640" s="2"/>
      <c r="Z640" s="2"/>
    </row>
    <row r="641" spans="1:26" ht="19.5" customHeight="1">
      <c r="A641" s="28"/>
      <c r="B641" s="28"/>
      <c r="C641" s="28"/>
      <c r="D641" s="29"/>
      <c r="E641" s="29"/>
      <c r="F641" s="28"/>
      <c r="G641" s="28"/>
      <c r="H641" s="28"/>
      <c r="I641" s="28"/>
      <c r="J641" s="28"/>
      <c r="K641" s="28"/>
      <c r="L641" s="28"/>
      <c r="M641" s="28"/>
      <c r="N641" s="28"/>
      <c r="O641" s="28"/>
      <c r="P641" s="28"/>
      <c r="Q641" s="28"/>
      <c r="R641" s="28"/>
      <c r="S641" s="28"/>
      <c r="T641" s="28"/>
      <c r="U641" s="7"/>
      <c r="V641" s="28"/>
      <c r="W641" s="28"/>
      <c r="X641" s="2"/>
      <c r="Y641" s="2"/>
      <c r="Z641" s="2"/>
    </row>
    <row r="642" spans="1:26" ht="19.5" customHeight="1">
      <c r="A642" s="28"/>
      <c r="B642" s="28"/>
      <c r="C642" s="28"/>
      <c r="D642" s="29"/>
      <c r="E642" s="29"/>
      <c r="F642" s="28"/>
      <c r="G642" s="28"/>
      <c r="H642" s="28"/>
      <c r="I642" s="28"/>
      <c r="J642" s="28"/>
      <c r="K642" s="28"/>
      <c r="L642" s="28"/>
      <c r="M642" s="28"/>
      <c r="N642" s="28"/>
      <c r="O642" s="28"/>
      <c r="P642" s="28"/>
      <c r="Q642" s="28"/>
      <c r="R642" s="28"/>
      <c r="S642" s="28"/>
      <c r="T642" s="28"/>
      <c r="U642" s="7"/>
      <c r="V642" s="28"/>
      <c r="W642" s="28"/>
      <c r="X642" s="2"/>
      <c r="Y642" s="2"/>
      <c r="Z642" s="2"/>
    </row>
    <row r="643" spans="1:26" ht="19.5" customHeight="1">
      <c r="A643" s="28"/>
      <c r="B643" s="28"/>
      <c r="C643" s="28"/>
      <c r="D643" s="29"/>
      <c r="E643" s="29"/>
      <c r="F643" s="28"/>
      <c r="G643" s="28"/>
      <c r="H643" s="28"/>
      <c r="I643" s="28"/>
      <c r="J643" s="28"/>
      <c r="K643" s="28"/>
      <c r="L643" s="28"/>
      <c r="M643" s="28"/>
      <c r="N643" s="28"/>
      <c r="O643" s="28"/>
      <c r="P643" s="28"/>
      <c r="Q643" s="28"/>
      <c r="R643" s="28"/>
      <c r="S643" s="28"/>
      <c r="T643" s="28"/>
      <c r="U643" s="7"/>
      <c r="V643" s="28"/>
      <c r="W643" s="28"/>
      <c r="X643" s="2"/>
      <c r="Y643" s="2"/>
      <c r="Z643" s="2"/>
    </row>
    <row r="644" spans="1:26" ht="19.5" customHeight="1">
      <c r="A644" s="28"/>
      <c r="B644" s="28"/>
      <c r="C644" s="28"/>
      <c r="D644" s="29"/>
      <c r="E644" s="29"/>
      <c r="F644" s="28"/>
      <c r="G644" s="28"/>
      <c r="H644" s="28"/>
      <c r="I644" s="28"/>
      <c r="J644" s="28"/>
      <c r="K644" s="28"/>
      <c r="L644" s="28"/>
      <c r="M644" s="28"/>
      <c r="N644" s="28"/>
      <c r="O644" s="28"/>
      <c r="P644" s="28"/>
      <c r="Q644" s="28"/>
      <c r="R644" s="28"/>
      <c r="S644" s="28"/>
      <c r="T644" s="28"/>
      <c r="U644" s="7"/>
      <c r="V644" s="28"/>
      <c r="W644" s="28"/>
      <c r="X644" s="2"/>
      <c r="Y644" s="2"/>
      <c r="Z644" s="2"/>
    </row>
    <row r="645" spans="1:26" ht="19.5" customHeight="1">
      <c r="A645" s="28"/>
      <c r="B645" s="28"/>
      <c r="C645" s="28"/>
      <c r="D645" s="29"/>
      <c r="E645" s="29"/>
      <c r="F645" s="28"/>
      <c r="G645" s="28"/>
      <c r="H645" s="28"/>
      <c r="I645" s="28"/>
      <c r="J645" s="28"/>
      <c r="K645" s="28"/>
      <c r="L645" s="28"/>
      <c r="M645" s="28"/>
      <c r="N645" s="28"/>
      <c r="O645" s="28"/>
      <c r="P645" s="28"/>
      <c r="Q645" s="28"/>
      <c r="R645" s="28"/>
      <c r="S645" s="28"/>
      <c r="T645" s="28"/>
      <c r="U645" s="7"/>
      <c r="V645" s="28"/>
      <c r="W645" s="28"/>
      <c r="X645" s="2"/>
      <c r="Y645" s="2"/>
      <c r="Z645" s="2"/>
    </row>
    <row r="646" spans="1:26" ht="19.5" customHeight="1">
      <c r="A646" s="28"/>
      <c r="B646" s="28"/>
      <c r="C646" s="28"/>
      <c r="D646" s="29"/>
      <c r="E646" s="29"/>
      <c r="F646" s="28"/>
      <c r="G646" s="28"/>
      <c r="H646" s="28"/>
      <c r="I646" s="28"/>
      <c r="J646" s="28"/>
      <c r="K646" s="28"/>
      <c r="L646" s="28"/>
      <c r="M646" s="28"/>
      <c r="N646" s="28"/>
      <c r="O646" s="28"/>
      <c r="P646" s="28"/>
      <c r="Q646" s="28"/>
      <c r="R646" s="28"/>
      <c r="S646" s="28"/>
      <c r="T646" s="28"/>
      <c r="U646" s="7"/>
      <c r="V646" s="28"/>
      <c r="W646" s="28"/>
      <c r="X646" s="2"/>
      <c r="Y646" s="2"/>
      <c r="Z646" s="2"/>
    </row>
    <row r="647" spans="1:26" ht="19.5" customHeight="1">
      <c r="A647" s="28"/>
      <c r="B647" s="28"/>
      <c r="C647" s="28"/>
      <c r="D647" s="29"/>
      <c r="E647" s="29"/>
      <c r="F647" s="28"/>
      <c r="G647" s="28"/>
      <c r="H647" s="28"/>
      <c r="I647" s="28"/>
      <c r="J647" s="28"/>
      <c r="K647" s="28"/>
      <c r="L647" s="28"/>
      <c r="M647" s="28"/>
      <c r="N647" s="28"/>
      <c r="O647" s="28"/>
      <c r="P647" s="28"/>
      <c r="Q647" s="28"/>
      <c r="R647" s="28"/>
      <c r="S647" s="28"/>
      <c r="T647" s="28"/>
      <c r="U647" s="7"/>
      <c r="V647" s="28"/>
      <c r="W647" s="28"/>
      <c r="X647" s="2"/>
      <c r="Y647" s="2"/>
      <c r="Z647" s="2"/>
    </row>
    <row r="648" spans="1:26" ht="19.5" customHeight="1">
      <c r="A648" s="28"/>
      <c r="B648" s="28"/>
      <c r="C648" s="28"/>
      <c r="D648" s="29"/>
      <c r="E648" s="29"/>
      <c r="F648" s="28"/>
      <c r="G648" s="28"/>
      <c r="H648" s="28"/>
      <c r="I648" s="28"/>
      <c r="J648" s="28"/>
      <c r="K648" s="28"/>
      <c r="L648" s="28"/>
      <c r="M648" s="28"/>
      <c r="N648" s="28"/>
      <c r="O648" s="28"/>
      <c r="P648" s="28"/>
      <c r="Q648" s="28"/>
      <c r="R648" s="28"/>
      <c r="S648" s="28"/>
      <c r="T648" s="28"/>
      <c r="U648" s="7"/>
      <c r="V648" s="28"/>
      <c r="W648" s="28"/>
      <c r="X648" s="2"/>
      <c r="Y648" s="2"/>
      <c r="Z648" s="2"/>
    </row>
    <row r="649" spans="1:26" ht="19.5" customHeight="1">
      <c r="A649" s="28"/>
      <c r="B649" s="28"/>
      <c r="C649" s="28"/>
      <c r="D649" s="29"/>
      <c r="E649" s="29"/>
      <c r="F649" s="28"/>
      <c r="G649" s="28"/>
      <c r="H649" s="28"/>
      <c r="I649" s="28"/>
      <c r="J649" s="28"/>
      <c r="K649" s="28"/>
      <c r="L649" s="28"/>
      <c r="M649" s="28"/>
      <c r="N649" s="28"/>
      <c r="O649" s="28"/>
      <c r="P649" s="28"/>
      <c r="Q649" s="28"/>
      <c r="R649" s="28"/>
      <c r="S649" s="28"/>
      <c r="T649" s="28"/>
      <c r="U649" s="7"/>
      <c r="V649" s="28"/>
      <c r="W649" s="28"/>
      <c r="X649" s="2"/>
      <c r="Y649" s="2"/>
      <c r="Z649" s="2"/>
    </row>
    <row r="650" spans="1:26" ht="19.5" customHeight="1">
      <c r="A650" s="28"/>
      <c r="B650" s="28"/>
      <c r="C650" s="28"/>
      <c r="D650" s="29"/>
      <c r="E650" s="29"/>
      <c r="F650" s="28"/>
      <c r="G650" s="28"/>
      <c r="H650" s="28"/>
      <c r="I650" s="28"/>
      <c r="J650" s="28"/>
      <c r="K650" s="28"/>
      <c r="L650" s="28"/>
      <c r="M650" s="28"/>
      <c r="N650" s="28"/>
      <c r="O650" s="28"/>
      <c r="P650" s="28"/>
      <c r="Q650" s="28"/>
      <c r="R650" s="28"/>
      <c r="S650" s="28"/>
      <c r="T650" s="28"/>
      <c r="U650" s="7"/>
      <c r="V650" s="28"/>
      <c r="W650" s="28"/>
      <c r="X650" s="2"/>
      <c r="Y650" s="2"/>
      <c r="Z650" s="2"/>
    </row>
    <row r="651" spans="1:26" ht="19.5" customHeight="1">
      <c r="A651" s="28"/>
      <c r="B651" s="28"/>
      <c r="C651" s="28"/>
      <c r="D651" s="29"/>
      <c r="E651" s="29"/>
      <c r="F651" s="28"/>
      <c r="G651" s="28"/>
      <c r="H651" s="28"/>
      <c r="I651" s="28"/>
      <c r="J651" s="28"/>
      <c r="K651" s="28"/>
      <c r="L651" s="28"/>
      <c r="M651" s="28"/>
      <c r="N651" s="28"/>
      <c r="O651" s="28"/>
      <c r="P651" s="28"/>
      <c r="Q651" s="28"/>
      <c r="R651" s="28"/>
      <c r="S651" s="28"/>
      <c r="T651" s="28"/>
      <c r="U651" s="7"/>
      <c r="V651" s="28"/>
      <c r="W651" s="28"/>
      <c r="X651" s="2"/>
      <c r="Y651" s="2"/>
      <c r="Z651" s="2"/>
    </row>
    <row r="652" spans="1:26" ht="19.5" customHeight="1">
      <c r="A652" s="28"/>
      <c r="B652" s="28"/>
      <c r="C652" s="28"/>
      <c r="D652" s="29"/>
      <c r="E652" s="29"/>
      <c r="F652" s="28"/>
      <c r="G652" s="28"/>
      <c r="H652" s="28"/>
      <c r="I652" s="28"/>
      <c r="J652" s="28"/>
      <c r="K652" s="28"/>
      <c r="L652" s="28"/>
      <c r="M652" s="28"/>
      <c r="N652" s="28"/>
      <c r="O652" s="28"/>
      <c r="P652" s="28"/>
      <c r="Q652" s="28"/>
      <c r="R652" s="28"/>
      <c r="S652" s="28"/>
      <c r="T652" s="28"/>
      <c r="U652" s="7"/>
      <c r="V652" s="28"/>
      <c r="W652" s="28"/>
      <c r="X652" s="2"/>
      <c r="Y652" s="2"/>
      <c r="Z652" s="2"/>
    </row>
    <row r="653" spans="1:26" ht="19.5" customHeight="1">
      <c r="A653" s="28"/>
      <c r="B653" s="28"/>
      <c r="C653" s="28"/>
      <c r="D653" s="29"/>
      <c r="E653" s="29"/>
      <c r="F653" s="28"/>
      <c r="G653" s="28"/>
      <c r="H653" s="28"/>
      <c r="I653" s="28"/>
      <c r="J653" s="28"/>
      <c r="K653" s="28"/>
      <c r="L653" s="28"/>
      <c r="M653" s="28"/>
      <c r="N653" s="28"/>
      <c r="O653" s="28"/>
      <c r="P653" s="28"/>
      <c r="Q653" s="28"/>
      <c r="R653" s="28"/>
      <c r="S653" s="28"/>
      <c r="T653" s="28"/>
      <c r="U653" s="7"/>
      <c r="V653" s="28"/>
      <c r="W653" s="28"/>
      <c r="X653" s="2"/>
      <c r="Y653" s="2"/>
      <c r="Z653" s="2"/>
    </row>
    <row r="654" spans="1:26" ht="19.5" customHeight="1">
      <c r="A654" s="28"/>
      <c r="B654" s="28"/>
      <c r="C654" s="28"/>
      <c r="D654" s="29"/>
      <c r="E654" s="29"/>
      <c r="F654" s="28"/>
      <c r="G654" s="28"/>
      <c r="H654" s="28"/>
      <c r="I654" s="28"/>
      <c r="J654" s="28"/>
      <c r="K654" s="28"/>
      <c r="L654" s="28"/>
      <c r="M654" s="28"/>
      <c r="N654" s="28"/>
      <c r="O654" s="28"/>
      <c r="P654" s="28"/>
      <c r="Q654" s="28"/>
      <c r="R654" s="28"/>
      <c r="S654" s="28"/>
      <c r="T654" s="28"/>
      <c r="U654" s="7"/>
      <c r="V654" s="28"/>
      <c r="W654" s="28"/>
      <c r="X654" s="2"/>
      <c r="Y654" s="2"/>
      <c r="Z654" s="2"/>
    </row>
    <row r="655" spans="1:26" ht="19.5" customHeight="1">
      <c r="A655" s="28"/>
      <c r="B655" s="28"/>
      <c r="C655" s="28"/>
      <c r="D655" s="29"/>
      <c r="E655" s="29"/>
      <c r="F655" s="28"/>
      <c r="G655" s="28"/>
      <c r="H655" s="28"/>
      <c r="I655" s="28"/>
      <c r="J655" s="28"/>
      <c r="K655" s="28"/>
      <c r="L655" s="28"/>
      <c r="M655" s="28"/>
      <c r="N655" s="28"/>
      <c r="O655" s="28"/>
      <c r="P655" s="28"/>
      <c r="Q655" s="28"/>
      <c r="R655" s="28"/>
      <c r="S655" s="28"/>
      <c r="T655" s="28"/>
      <c r="U655" s="7"/>
      <c r="V655" s="28"/>
      <c r="W655" s="28"/>
      <c r="X655" s="2"/>
      <c r="Y655" s="2"/>
      <c r="Z655" s="2"/>
    </row>
    <row r="656" spans="1:26" ht="19.5" customHeight="1">
      <c r="A656" s="28"/>
      <c r="B656" s="28"/>
      <c r="C656" s="28"/>
      <c r="D656" s="29"/>
      <c r="E656" s="29"/>
      <c r="F656" s="28"/>
      <c r="G656" s="28"/>
      <c r="H656" s="28"/>
      <c r="I656" s="28"/>
      <c r="J656" s="28"/>
      <c r="K656" s="28"/>
      <c r="L656" s="28"/>
      <c r="M656" s="28"/>
      <c r="N656" s="28"/>
      <c r="O656" s="28"/>
      <c r="P656" s="28"/>
      <c r="Q656" s="28"/>
      <c r="R656" s="28"/>
      <c r="S656" s="28"/>
      <c r="T656" s="28"/>
      <c r="U656" s="7"/>
      <c r="V656" s="28"/>
      <c r="W656" s="28"/>
      <c r="X656" s="2"/>
      <c r="Y656" s="2"/>
      <c r="Z656" s="2"/>
    </row>
    <row r="657" spans="1:26" ht="19.5" customHeight="1">
      <c r="A657" s="28"/>
      <c r="B657" s="28"/>
      <c r="C657" s="28"/>
      <c r="D657" s="29"/>
      <c r="E657" s="29"/>
      <c r="F657" s="28"/>
      <c r="G657" s="28"/>
      <c r="H657" s="28"/>
      <c r="I657" s="28"/>
      <c r="J657" s="28"/>
      <c r="K657" s="28"/>
      <c r="L657" s="28"/>
      <c r="M657" s="28"/>
      <c r="N657" s="28"/>
      <c r="O657" s="28"/>
      <c r="P657" s="28"/>
      <c r="Q657" s="28"/>
      <c r="R657" s="28"/>
      <c r="S657" s="28"/>
      <c r="T657" s="28"/>
      <c r="U657" s="7"/>
      <c r="V657" s="28"/>
      <c r="W657" s="28"/>
      <c r="X657" s="2"/>
      <c r="Y657" s="2"/>
      <c r="Z657" s="2"/>
    </row>
    <row r="658" spans="1:26" ht="19.5" customHeight="1">
      <c r="A658" s="28"/>
      <c r="B658" s="28"/>
      <c r="C658" s="28"/>
      <c r="D658" s="29"/>
      <c r="E658" s="29"/>
      <c r="F658" s="28"/>
      <c r="G658" s="28"/>
      <c r="H658" s="28"/>
      <c r="I658" s="28"/>
      <c r="J658" s="28"/>
      <c r="K658" s="28"/>
      <c r="L658" s="28"/>
      <c r="M658" s="28"/>
      <c r="N658" s="28"/>
      <c r="O658" s="28"/>
      <c r="P658" s="28"/>
      <c r="Q658" s="28"/>
      <c r="R658" s="28"/>
      <c r="S658" s="28"/>
      <c r="T658" s="28"/>
      <c r="U658" s="7"/>
      <c r="V658" s="28"/>
      <c r="W658" s="28"/>
      <c r="X658" s="2"/>
      <c r="Y658" s="2"/>
      <c r="Z658" s="2"/>
    </row>
    <row r="659" spans="1:26" ht="19.5" customHeight="1">
      <c r="A659" s="28"/>
      <c r="B659" s="28"/>
      <c r="C659" s="28"/>
      <c r="D659" s="29"/>
      <c r="E659" s="29"/>
      <c r="F659" s="28"/>
      <c r="G659" s="28"/>
      <c r="H659" s="28"/>
      <c r="I659" s="28"/>
      <c r="J659" s="28"/>
      <c r="K659" s="28"/>
      <c r="L659" s="28"/>
      <c r="M659" s="28"/>
      <c r="N659" s="28"/>
      <c r="O659" s="28"/>
      <c r="P659" s="28"/>
      <c r="Q659" s="28"/>
      <c r="R659" s="28"/>
      <c r="S659" s="28"/>
      <c r="T659" s="28"/>
      <c r="U659" s="7"/>
      <c r="V659" s="28"/>
      <c r="W659" s="28"/>
      <c r="X659" s="2"/>
      <c r="Y659" s="2"/>
      <c r="Z659" s="2"/>
    </row>
    <row r="660" spans="1:26" ht="19.5" customHeight="1">
      <c r="A660" s="28"/>
      <c r="B660" s="28"/>
      <c r="C660" s="28"/>
      <c r="D660" s="29"/>
      <c r="E660" s="29"/>
      <c r="F660" s="28"/>
      <c r="G660" s="28"/>
      <c r="H660" s="28"/>
      <c r="I660" s="28"/>
      <c r="J660" s="28"/>
      <c r="K660" s="28"/>
      <c r="L660" s="28"/>
      <c r="M660" s="28"/>
      <c r="N660" s="28"/>
      <c r="O660" s="28"/>
      <c r="P660" s="28"/>
      <c r="Q660" s="28"/>
      <c r="R660" s="28"/>
      <c r="S660" s="28"/>
      <c r="T660" s="28"/>
      <c r="U660" s="7"/>
      <c r="V660" s="28"/>
      <c r="W660" s="28"/>
      <c r="X660" s="2"/>
      <c r="Y660" s="2"/>
      <c r="Z660" s="2"/>
    </row>
    <row r="661" spans="1:26" ht="19.5" customHeight="1">
      <c r="A661" s="28"/>
      <c r="B661" s="28"/>
      <c r="C661" s="28"/>
      <c r="D661" s="29"/>
      <c r="E661" s="29"/>
      <c r="F661" s="28"/>
      <c r="G661" s="28"/>
      <c r="H661" s="28"/>
      <c r="I661" s="28"/>
      <c r="J661" s="28"/>
      <c r="K661" s="28"/>
      <c r="L661" s="28"/>
      <c r="M661" s="28"/>
      <c r="N661" s="28"/>
      <c r="O661" s="28"/>
      <c r="P661" s="28"/>
      <c r="Q661" s="28"/>
      <c r="R661" s="28"/>
      <c r="S661" s="28"/>
      <c r="T661" s="28"/>
      <c r="U661" s="7"/>
      <c r="V661" s="28"/>
      <c r="W661" s="28"/>
      <c r="X661" s="2"/>
      <c r="Y661" s="2"/>
      <c r="Z661" s="2"/>
    </row>
    <row r="662" spans="1:26" ht="19.5" customHeight="1">
      <c r="A662" s="28"/>
      <c r="B662" s="28"/>
      <c r="C662" s="28"/>
      <c r="D662" s="29"/>
      <c r="E662" s="29"/>
      <c r="F662" s="28"/>
      <c r="G662" s="28"/>
      <c r="H662" s="28"/>
      <c r="I662" s="28"/>
      <c r="J662" s="28"/>
      <c r="K662" s="28"/>
      <c r="L662" s="28"/>
      <c r="M662" s="28"/>
      <c r="N662" s="28"/>
      <c r="O662" s="28"/>
      <c r="P662" s="28"/>
      <c r="Q662" s="28"/>
      <c r="R662" s="28"/>
      <c r="S662" s="28"/>
      <c r="T662" s="28"/>
      <c r="U662" s="7"/>
      <c r="V662" s="28"/>
      <c r="W662" s="28"/>
      <c r="X662" s="2"/>
      <c r="Y662" s="2"/>
      <c r="Z662" s="2"/>
    </row>
    <row r="663" spans="1:26" ht="19.5" customHeight="1">
      <c r="A663" s="28"/>
      <c r="B663" s="28"/>
      <c r="C663" s="28"/>
      <c r="D663" s="29"/>
      <c r="E663" s="29"/>
      <c r="F663" s="28"/>
      <c r="G663" s="28"/>
      <c r="H663" s="28"/>
      <c r="I663" s="28"/>
      <c r="J663" s="28"/>
      <c r="K663" s="28"/>
      <c r="L663" s="28"/>
      <c r="M663" s="28"/>
      <c r="N663" s="28"/>
      <c r="O663" s="28"/>
      <c r="P663" s="28"/>
      <c r="Q663" s="28"/>
      <c r="R663" s="28"/>
      <c r="S663" s="28"/>
      <c r="T663" s="28"/>
      <c r="U663" s="7"/>
      <c r="V663" s="28"/>
      <c r="W663" s="28"/>
      <c r="X663" s="2"/>
      <c r="Y663" s="2"/>
      <c r="Z663" s="2"/>
    </row>
    <row r="664" spans="1:26" ht="19.5" customHeight="1">
      <c r="A664" s="28"/>
      <c r="B664" s="28"/>
      <c r="C664" s="28"/>
      <c r="D664" s="29"/>
      <c r="E664" s="29"/>
      <c r="F664" s="28"/>
      <c r="G664" s="28"/>
      <c r="H664" s="28"/>
      <c r="I664" s="28"/>
      <c r="J664" s="28"/>
      <c r="K664" s="28"/>
      <c r="L664" s="28"/>
      <c r="M664" s="28"/>
      <c r="N664" s="28"/>
      <c r="O664" s="28"/>
      <c r="P664" s="28"/>
      <c r="Q664" s="28"/>
      <c r="R664" s="28"/>
      <c r="S664" s="28"/>
      <c r="T664" s="28"/>
      <c r="U664" s="7"/>
      <c r="V664" s="28"/>
      <c r="W664" s="28"/>
      <c r="X664" s="2"/>
      <c r="Y664" s="2"/>
      <c r="Z664" s="2"/>
    </row>
    <row r="665" spans="1:26" ht="19.5" customHeight="1">
      <c r="A665" s="28"/>
      <c r="B665" s="28"/>
      <c r="C665" s="28"/>
      <c r="D665" s="29"/>
      <c r="E665" s="29"/>
      <c r="F665" s="28"/>
      <c r="G665" s="28"/>
      <c r="H665" s="28"/>
      <c r="I665" s="28"/>
      <c r="J665" s="28"/>
      <c r="K665" s="28"/>
      <c r="L665" s="28"/>
      <c r="M665" s="28"/>
      <c r="N665" s="28"/>
      <c r="O665" s="28"/>
      <c r="P665" s="28"/>
      <c r="Q665" s="28"/>
      <c r="R665" s="28"/>
      <c r="S665" s="28"/>
      <c r="T665" s="28"/>
      <c r="U665" s="7"/>
      <c r="V665" s="28"/>
      <c r="W665" s="28"/>
      <c r="X665" s="2"/>
      <c r="Y665" s="2"/>
      <c r="Z665" s="2"/>
    </row>
    <row r="666" spans="1:26" ht="19.5" customHeight="1">
      <c r="A666" s="28"/>
      <c r="B666" s="28"/>
      <c r="C666" s="28"/>
      <c r="D666" s="29"/>
      <c r="E666" s="29"/>
      <c r="F666" s="28"/>
      <c r="G666" s="28"/>
      <c r="H666" s="28"/>
      <c r="I666" s="28"/>
      <c r="J666" s="28"/>
      <c r="K666" s="28"/>
      <c r="L666" s="28"/>
      <c r="M666" s="28"/>
      <c r="N666" s="28"/>
      <c r="O666" s="28"/>
      <c r="P666" s="28"/>
      <c r="Q666" s="28"/>
      <c r="R666" s="28"/>
      <c r="S666" s="28"/>
      <c r="T666" s="28"/>
      <c r="U666" s="7"/>
      <c r="V666" s="28"/>
      <c r="W666" s="28"/>
      <c r="X666" s="2"/>
      <c r="Y666" s="2"/>
      <c r="Z666" s="2"/>
    </row>
    <row r="667" spans="1:26" ht="19.5" customHeight="1">
      <c r="A667" s="28"/>
      <c r="B667" s="28"/>
      <c r="C667" s="28"/>
      <c r="D667" s="29"/>
      <c r="E667" s="29"/>
      <c r="F667" s="28"/>
      <c r="G667" s="28"/>
      <c r="H667" s="28"/>
      <c r="I667" s="28"/>
      <c r="J667" s="28"/>
      <c r="K667" s="28"/>
      <c r="L667" s="28"/>
      <c r="M667" s="28"/>
      <c r="N667" s="28"/>
      <c r="O667" s="28"/>
      <c r="P667" s="28"/>
      <c r="Q667" s="28"/>
      <c r="R667" s="28"/>
      <c r="S667" s="28"/>
      <c r="T667" s="28"/>
      <c r="U667" s="7"/>
      <c r="V667" s="28"/>
      <c r="W667" s="28"/>
      <c r="X667" s="2"/>
      <c r="Y667" s="2"/>
      <c r="Z667" s="2"/>
    </row>
    <row r="668" spans="1:26" ht="19.5" customHeight="1">
      <c r="A668" s="28"/>
      <c r="B668" s="28"/>
      <c r="C668" s="28"/>
      <c r="D668" s="29"/>
      <c r="E668" s="29"/>
      <c r="F668" s="28"/>
      <c r="G668" s="28"/>
      <c r="H668" s="28"/>
      <c r="I668" s="28"/>
      <c r="J668" s="28"/>
      <c r="K668" s="28"/>
      <c r="L668" s="28"/>
      <c r="M668" s="28"/>
      <c r="N668" s="28"/>
      <c r="O668" s="28"/>
      <c r="P668" s="28"/>
      <c r="Q668" s="28"/>
      <c r="R668" s="28"/>
      <c r="S668" s="28"/>
      <c r="T668" s="28"/>
      <c r="U668" s="7"/>
      <c r="V668" s="28"/>
      <c r="W668" s="28"/>
      <c r="X668" s="2"/>
      <c r="Y668" s="2"/>
      <c r="Z668" s="2"/>
    </row>
    <row r="669" spans="1:26" ht="19.5" customHeight="1">
      <c r="A669" s="28"/>
      <c r="B669" s="28"/>
      <c r="C669" s="28"/>
      <c r="D669" s="29"/>
      <c r="E669" s="29"/>
      <c r="F669" s="28"/>
      <c r="G669" s="28"/>
      <c r="H669" s="28"/>
      <c r="I669" s="28"/>
      <c r="J669" s="28"/>
      <c r="K669" s="28"/>
      <c r="L669" s="28"/>
      <c r="M669" s="28"/>
      <c r="N669" s="28"/>
      <c r="O669" s="28"/>
      <c r="P669" s="28"/>
      <c r="Q669" s="28"/>
      <c r="R669" s="28"/>
      <c r="S669" s="28"/>
      <c r="T669" s="28"/>
      <c r="U669" s="7"/>
      <c r="V669" s="28"/>
      <c r="W669" s="28"/>
      <c r="X669" s="2"/>
      <c r="Y669" s="2"/>
      <c r="Z669" s="2"/>
    </row>
    <row r="670" spans="1:26" ht="19.5" customHeight="1">
      <c r="A670" s="28"/>
      <c r="B670" s="28"/>
      <c r="C670" s="28"/>
      <c r="D670" s="29"/>
      <c r="E670" s="29"/>
      <c r="F670" s="28"/>
      <c r="G670" s="28"/>
      <c r="H670" s="28"/>
      <c r="I670" s="28"/>
      <c r="J670" s="28"/>
      <c r="K670" s="28"/>
      <c r="L670" s="28"/>
      <c r="M670" s="28"/>
      <c r="N670" s="28"/>
      <c r="O670" s="28"/>
      <c r="P670" s="28"/>
      <c r="Q670" s="28"/>
      <c r="R670" s="28"/>
      <c r="S670" s="28"/>
      <c r="T670" s="28"/>
      <c r="U670" s="7"/>
      <c r="V670" s="28"/>
      <c r="W670" s="28"/>
      <c r="X670" s="2"/>
      <c r="Y670" s="2"/>
      <c r="Z670" s="2"/>
    </row>
    <row r="671" spans="1:26" ht="19.5" customHeight="1">
      <c r="A671" s="28"/>
      <c r="B671" s="28"/>
      <c r="C671" s="28"/>
      <c r="D671" s="29"/>
      <c r="E671" s="29"/>
      <c r="F671" s="28"/>
      <c r="G671" s="28"/>
      <c r="H671" s="28"/>
      <c r="I671" s="28"/>
      <c r="J671" s="28"/>
      <c r="K671" s="28"/>
      <c r="L671" s="28"/>
      <c r="M671" s="28"/>
      <c r="N671" s="28"/>
      <c r="O671" s="28"/>
      <c r="P671" s="28"/>
      <c r="Q671" s="28"/>
      <c r="R671" s="28"/>
      <c r="S671" s="28"/>
      <c r="T671" s="28"/>
      <c r="U671" s="7"/>
      <c r="V671" s="28"/>
      <c r="W671" s="28"/>
      <c r="X671" s="2"/>
      <c r="Y671" s="2"/>
      <c r="Z671" s="2"/>
    </row>
    <row r="672" spans="1:26" ht="19.5" customHeight="1">
      <c r="A672" s="28"/>
      <c r="B672" s="28"/>
      <c r="C672" s="28"/>
      <c r="D672" s="29"/>
      <c r="E672" s="29"/>
      <c r="F672" s="28"/>
      <c r="G672" s="28"/>
      <c r="H672" s="28"/>
      <c r="I672" s="28"/>
      <c r="J672" s="28"/>
      <c r="K672" s="28"/>
      <c r="L672" s="28"/>
      <c r="M672" s="28"/>
      <c r="N672" s="28"/>
      <c r="O672" s="28"/>
      <c r="P672" s="28"/>
      <c r="Q672" s="28"/>
      <c r="R672" s="28"/>
      <c r="S672" s="28"/>
      <c r="T672" s="28"/>
      <c r="U672" s="7"/>
      <c r="V672" s="28"/>
      <c r="W672" s="28"/>
      <c r="X672" s="2"/>
      <c r="Y672" s="2"/>
      <c r="Z672" s="2"/>
    </row>
    <row r="673" spans="1:26" ht="19.5" customHeight="1">
      <c r="A673" s="28"/>
      <c r="B673" s="28"/>
      <c r="C673" s="28"/>
      <c r="D673" s="29"/>
      <c r="E673" s="29"/>
      <c r="F673" s="28"/>
      <c r="G673" s="28"/>
      <c r="H673" s="28"/>
      <c r="I673" s="28"/>
      <c r="J673" s="28"/>
      <c r="K673" s="28"/>
      <c r="L673" s="28"/>
      <c r="M673" s="28"/>
      <c r="N673" s="28"/>
      <c r="O673" s="28"/>
      <c r="P673" s="28"/>
      <c r="Q673" s="28"/>
      <c r="R673" s="28"/>
      <c r="S673" s="28"/>
      <c r="T673" s="28"/>
      <c r="U673" s="7"/>
      <c r="V673" s="28"/>
      <c r="W673" s="28"/>
      <c r="X673" s="2"/>
      <c r="Y673" s="2"/>
      <c r="Z673" s="2"/>
    </row>
    <row r="674" spans="1:26" ht="19.5" customHeight="1">
      <c r="A674" s="28"/>
      <c r="B674" s="28"/>
      <c r="C674" s="28"/>
      <c r="D674" s="29"/>
      <c r="E674" s="29"/>
      <c r="F674" s="28"/>
      <c r="G674" s="28"/>
      <c r="H674" s="28"/>
      <c r="I674" s="28"/>
      <c r="J674" s="28"/>
      <c r="K674" s="28"/>
      <c r="L674" s="28"/>
      <c r="M674" s="28"/>
      <c r="N674" s="28"/>
      <c r="O674" s="28"/>
      <c r="P674" s="28"/>
      <c r="Q674" s="28"/>
      <c r="R674" s="28"/>
      <c r="S674" s="28"/>
      <c r="T674" s="28"/>
      <c r="U674" s="7"/>
      <c r="V674" s="28"/>
      <c r="W674" s="28"/>
      <c r="X674" s="2"/>
      <c r="Y674" s="2"/>
      <c r="Z674" s="2"/>
    </row>
    <row r="675" spans="1:26" ht="19.5" customHeight="1">
      <c r="A675" s="28"/>
      <c r="B675" s="28"/>
      <c r="C675" s="28"/>
      <c r="D675" s="29"/>
      <c r="E675" s="29"/>
      <c r="F675" s="28"/>
      <c r="G675" s="28"/>
      <c r="H675" s="28"/>
      <c r="I675" s="28"/>
      <c r="J675" s="28"/>
      <c r="K675" s="28"/>
      <c r="L675" s="28"/>
      <c r="M675" s="28"/>
      <c r="N675" s="28"/>
      <c r="O675" s="28"/>
      <c r="P675" s="28"/>
      <c r="Q675" s="28"/>
      <c r="R675" s="28"/>
      <c r="S675" s="28"/>
      <c r="T675" s="28"/>
      <c r="U675" s="7"/>
      <c r="V675" s="28"/>
      <c r="W675" s="28"/>
      <c r="X675" s="2"/>
      <c r="Y675" s="2"/>
      <c r="Z675" s="2"/>
    </row>
    <row r="676" spans="1:26" ht="19.5" customHeight="1">
      <c r="A676" s="28"/>
      <c r="B676" s="28"/>
      <c r="C676" s="28"/>
      <c r="D676" s="29"/>
      <c r="E676" s="29"/>
      <c r="F676" s="28"/>
      <c r="G676" s="28"/>
      <c r="H676" s="28"/>
      <c r="I676" s="28"/>
      <c r="J676" s="28"/>
      <c r="K676" s="28"/>
      <c r="L676" s="28"/>
      <c r="M676" s="28"/>
      <c r="N676" s="28"/>
      <c r="O676" s="28"/>
      <c r="P676" s="28"/>
      <c r="Q676" s="28"/>
      <c r="R676" s="28"/>
      <c r="S676" s="28"/>
      <c r="T676" s="28"/>
      <c r="U676" s="7"/>
      <c r="V676" s="28"/>
      <c r="W676" s="28"/>
      <c r="X676" s="2"/>
      <c r="Y676" s="2"/>
      <c r="Z676" s="2"/>
    </row>
    <row r="677" spans="1:26" ht="19.5" customHeight="1">
      <c r="A677" s="28"/>
      <c r="B677" s="28"/>
      <c r="C677" s="28"/>
      <c r="D677" s="29"/>
      <c r="E677" s="29"/>
      <c r="F677" s="28"/>
      <c r="G677" s="28"/>
      <c r="H677" s="28"/>
      <c r="I677" s="28"/>
      <c r="J677" s="28"/>
      <c r="K677" s="28"/>
      <c r="L677" s="28"/>
      <c r="M677" s="28"/>
      <c r="N677" s="28"/>
      <c r="O677" s="28"/>
      <c r="P677" s="28"/>
      <c r="Q677" s="28"/>
      <c r="R677" s="28"/>
      <c r="S677" s="28"/>
      <c r="T677" s="28"/>
      <c r="U677" s="7"/>
      <c r="V677" s="28"/>
      <c r="W677" s="28"/>
      <c r="X677" s="2"/>
      <c r="Y677" s="2"/>
      <c r="Z677" s="2"/>
    </row>
    <row r="678" spans="1:26" ht="19.5" customHeight="1">
      <c r="A678" s="28"/>
      <c r="B678" s="28"/>
      <c r="C678" s="28"/>
      <c r="D678" s="29"/>
      <c r="E678" s="29"/>
      <c r="F678" s="28"/>
      <c r="G678" s="28"/>
      <c r="H678" s="28"/>
      <c r="I678" s="28"/>
      <c r="J678" s="28"/>
      <c r="K678" s="28"/>
      <c r="L678" s="28"/>
      <c r="M678" s="28"/>
      <c r="N678" s="28"/>
      <c r="O678" s="28"/>
      <c r="P678" s="28"/>
      <c r="Q678" s="28"/>
      <c r="R678" s="28"/>
      <c r="S678" s="28"/>
      <c r="T678" s="28"/>
      <c r="U678" s="7"/>
      <c r="V678" s="28"/>
      <c r="W678" s="28"/>
      <c r="X678" s="2"/>
      <c r="Y678" s="2"/>
      <c r="Z678" s="2"/>
    </row>
    <row r="679" spans="1:26" ht="19.5" customHeight="1">
      <c r="A679" s="28"/>
      <c r="B679" s="28"/>
      <c r="C679" s="28"/>
      <c r="D679" s="29"/>
      <c r="E679" s="29"/>
      <c r="F679" s="28"/>
      <c r="G679" s="28"/>
      <c r="H679" s="28"/>
      <c r="I679" s="28"/>
      <c r="J679" s="28"/>
      <c r="K679" s="28"/>
      <c r="L679" s="28"/>
      <c r="M679" s="28"/>
      <c r="N679" s="28"/>
      <c r="O679" s="28"/>
      <c r="P679" s="28"/>
      <c r="Q679" s="28"/>
      <c r="R679" s="28"/>
      <c r="S679" s="28"/>
      <c r="T679" s="28"/>
      <c r="U679" s="7"/>
      <c r="V679" s="28"/>
      <c r="W679" s="28"/>
      <c r="X679" s="2"/>
      <c r="Y679" s="2"/>
      <c r="Z679" s="2"/>
    </row>
    <row r="680" spans="1:26" ht="19.5" customHeight="1">
      <c r="A680" s="28"/>
      <c r="B680" s="28"/>
      <c r="C680" s="28"/>
      <c r="D680" s="29"/>
      <c r="E680" s="29"/>
      <c r="F680" s="28"/>
      <c r="G680" s="28"/>
      <c r="H680" s="28"/>
      <c r="I680" s="28"/>
      <c r="J680" s="28"/>
      <c r="K680" s="28"/>
      <c r="L680" s="28"/>
      <c r="M680" s="28"/>
      <c r="N680" s="28"/>
      <c r="O680" s="28"/>
      <c r="P680" s="28"/>
      <c r="Q680" s="28"/>
      <c r="R680" s="28"/>
      <c r="S680" s="28"/>
      <c r="T680" s="28"/>
      <c r="U680" s="7"/>
      <c r="V680" s="28"/>
      <c r="W680" s="28"/>
      <c r="X680" s="2"/>
      <c r="Y680" s="2"/>
      <c r="Z680" s="2"/>
    </row>
    <row r="681" spans="1:26" ht="19.5" customHeight="1">
      <c r="A681" s="28"/>
      <c r="B681" s="28"/>
      <c r="C681" s="28"/>
      <c r="D681" s="29"/>
      <c r="E681" s="29"/>
      <c r="F681" s="28"/>
      <c r="G681" s="28"/>
      <c r="H681" s="28"/>
      <c r="I681" s="28"/>
      <c r="J681" s="28"/>
      <c r="K681" s="28"/>
      <c r="L681" s="28"/>
      <c r="M681" s="28"/>
      <c r="N681" s="28"/>
      <c r="O681" s="28"/>
      <c r="P681" s="28"/>
      <c r="Q681" s="28"/>
      <c r="R681" s="28"/>
      <c r="S681" s="28"/>
      <c r="T681" s="28"/>
      <c r="U681" s="7"/>
      <c r="V681" s="28"/>
      <c r="W681" s="28"/>
      <c r="X681" s="2"/>
      <c r="Y681" s="2"/>
      <c r="Z681" s="2"/>
    </row>
    <row r="682" spans="1:26" ht="19.5" customHeight="1">
      <c r="A682" s="28"/>
      <c r="B682" s="28"/>
      <c r="C682" s="28"/>
      <c r="D682" s="29"/>
      <c r="E682" s="29"/>
      <c r="F682" s="28"/>
      <c r="G682" s="28"/>
      <c r="H682" s="28"/>
      <c r="I682" s="28"/>
      <c r="J682" s="28"/>
      <c r="K682" s="28"/>
      <c r="L682" s="28"/>
      <c r="M682" s="28"/>
      <c r="N682" s="28"/>
      <c r="O682" s="28"/>
      <c r="P682" s="28"/>
      <c r="Q682" s="28"/>
      <c r="R682" s="28"/>
      <c r="S682" s="28"/>
      <c r="T682" s="28"/>
      <c r="U682" s="7"/>
      <c r="V682" s="28"/>
      <c r="W682" s="28"/>
      <c r="X682" s="2"/>
      <c r="Y682" s="2"/>
      <c r="Z682" s="2"/>
    </row>
    <row r="683" spans="1:26" ht="19.5" customHeight="1">
      <c r="A683" s="28"/>
      <c r="B683" s="28"/>
      <c r="C683" s="28"/>
      <c r="D683" s="29"/>
      <c r="E683" s="29"/>
      <c r="F683" s="28"/>
      <c r="G683" s="28"/>
      <c r="H683" s="28"/>
      <c r="I683" s="28"/>
      <c r="J683" s="28"/>
      <c r="K683" s="28"/>
      <c r="L683" s="28"/>
      <c r="M683" s="28"/>
      <c r="N683" s="28"/>
      <c r="O683" s="28"/>
      <c r="P683" s="28"/>
      <c r="Q683" s="28"/>
      <c r="R683" s="28"/>
      <c r="S683" s="28"/>
      <c r="T683" s="28"/>
      <c r="U683" s="7"/>
      <c r="V683" s="28"/>
      <c r="W683" s="28"/>
      <c r="X683" s="2"/>
      <c r="Y683" s="2"/>
      <c r="Z683" s="2"/>
    </row>
    <row r="684" spans="1:26" ht="19.5" customHeight="1">
      <c r="A684" s="28"/>
      <c r="B684" s="28"/>
      <c r="C684" s="28"/>
      <c r="D684" s="29"/>
      <c r="E684" s="29"/>
      <c r="F684" s="28"/>
      <c r="G684" s="28"/>
      <c r="H684" s="28"/>
      <c r="I684" s="28"/>
      <c r="J684" s="28"/>
      <c r="K684" s="28"/>
      <c r="L684" s="28"/>
      <c r="M684" s="28"/>
      <c r="N684" s="28"/>
      <c r="O684" s="28"/>
      <c r="P684" s="28"/>
      <c r="Q684" s="28"/>
      <c r="R684" s="28"/>
      <c r="S684" s="28"/>
      <c r="T684" s="28"/>
      <c r="U684" s="7"/>
      <c r="V684" s="28"/>
      <c r="W684" s="28"/>
      <c r="X684" s="2"/>
      <c r="Y684" s="2"/>
      <c r="Z684" s="2"/>
    </row>
    <row r="685" spans="1:26" ht="19.5" customHeight="1">
      <c r="A685" s="28"/>
      <c r="B685" s="28"/>
      <c r="C685" s="28"/>
      <c r="D685" s="29"/>
      <c r="E685" s="29"/>
      <c r="F685" s="28"/>
      <c r="G685" s="28"/>
      <c r="H685" s="28"/>
      <c r="I685" s="28"/>
      <c r="J685" s="28"/>
      <c r="K685" s="28"/>
      <c r="L685" s="28"/>
      <c r="M685" s="28"/>
      <c r="N685" s="28"/>
      <c r="O685" s="28"/>
      <c r="P685" s="28"/>
      <c r="Q685" s="28"/>
      <c r="R685" s="28"/>
      <c r="S685" s="28"/>
      <c r="T685" s="28"/>
      <c r="U685" s="7"/>
      <c r="V685" s="28"/>
      <c r="W685" s="28"/>
      <c r="X685" s="2"/>
      <c r="Y685" s="2"/>
      <c r="Z685" s="2"/>
    </row>
    <row r="686" spans="1:26" ht="19.5" customHeight="1">
      <c r="A686" s="28"/>
      <c r="B686" s="28"/>
      <c r="C686" s="28"/>
      <c r="D686" s="29"/>
      <c r="E686" s="29"/>
      <c r="F686" s="28"/>
      <c r="G686" s="28"/>
      <c r="H686" s="28"/>
      <c r="I686" s="28"/>
      <c r="J686" s="28"/>
      <c r="K686" s="28"/>
      <c r="L686" s="28"/>
      <c r="M686" s="28"/>
      <c r="N686" s="28"/>
      <c r="O686" s="28"/>
      <c r="P686" s="28"/>
      <c r="Q686" s="28"/>
      <c r="R686" s="28"/>
      <c r="S686" s="28"/>
      <c r="T686" s="28"/>
      <c r="U686" s="7"/>
      <c r="V686" s="28"/>
      <c r="W686" s="28"/>
      <c r="X686" s="2"/>
      <c r="Y686" s="2"/>
      <c r="Z686" s="2"/>
    </row>
    <row r="687" spans="1:26" ht="19.5" customHeight="1">
      <c r="A687" s="28"/>
      <c r="B687" s="28"/>
      <c r="C687" s="28"/>
      <c r="D687" s="29"/>
      <c r="E687" s="29"/>
      <c r="F687" s="28"/>
      <c r="G687" s="28"/>
      <c r="H687" s="28"/>
      <c r="I687" s="28"/>
      <c r="J687" s="28"/>
      <c r="K687" s="28"/>
      <c r="L687" s="28"/>
      <c r="M687" s="28"/>
      <c r="N687" s="28"/>
      <c r="O687" s="28"/>
      <c r="P687" s="28"/>
      <c r="Q687" s="28"/>
      <c r="R687" s="28"/>
      <c r="S687" s="28"/>
      <c r="T687" s="28"/>
      <c r="U687" s="7"/>
      <c r="V687" s="28"/>
      <c r="W687" s="28"/>
      <c r="X687" s="2"/>
      <c r="Y687" s="2"/>
      <c r="Z687" s="2"/>
    </row>
    <row r="688" spans="1:26" ht="19.5" customHeight="1">
      <c r="A688" s="28"/>
      <c r="B688" s="28"/>
      <c r="C688" s="28"/>
      <c r="D688" s="29"/>
      <c r="E688" s="29"/>
      <c r="F688" s="28"/>
      <c r="G688" s="28"/>
      <c r="H688" s="28"/>
      <c r="I688" s="28"/>
      <c r="J688" s="28"/>
      <c r="K688" s="28"/>
      <c r="L688" s="28"/>
      <c r="M688" s="28"/>
      <c r="N688" s="28"/>
      <c r="O688" s="28"/>
      <c r="P688" s="28"/>
      <c r="Q688" s="28"/>
      <c r="R688" s="28"/>
      <c r="S688" s="28"/>
      <c r="T688" s="28"/>
      <c r="U688" s="7"/>
      <c r="V688" s="28"/>
      <c r="W688" s="28"/>
      <c r="X688" s="2"/>
      <c r="Y688" s="2"/>
      <c r="Z688" s="2"/>
    </row>
    <row r="689" spans="1:26" ht="19.5" customHeight="1">
      <c r="A689" s="28"/>
      <c r="B689" s="28"/>
      <c r="C689" s="28"/>
      <c r="D689" s="29"/>
      <c r="E689" s="29"/>
      <c r="F689" s="28"/>
      <c r="G689" s="28"/>
      <c r="H689" s="28"/>
      <c r="I689" s="28"/>
      <c r="J689" s="28"/>
      <c r="K689" s="28"/>
      <c r="L689" s="28"/>
      <c r="M689" s="28"/>
      <c r="N689" s="28"/>
      <c r="O689" s="28"/>
      <c r="P689" s="28"/>
      <c r="Q689" s="28"/>
      <c r="R689" s="28"/>
      <c r="S689" s="28"/>
      <c r="T689" s="28"/>
      <c r="U689" s="7"/>
      <c r="V689" s="28"/>
      <c r="W689" s="28"/>
      <c r="X689" s="2"/>
      <c r="Y689" s="2"/>
      <c r="Z689" s="2"/>
    </row>
    <row r="690" spans="1:26" ht="19.5" customHeight="1">
      <c r="A690" s="28"/>
      <c r="B690" s="28"/>
      <c r="C690" s="28"/>
      <c r="D690" s="29"/>
      <c r="E690" s="29"/>
      <c r="F690" s="28"/>
      <c r="G690" s="28"/>
      <c r="H690" s="28"/>
      <c r="I690" s="28"/>
      <c r="J690" s="28"/>
      <c r="K690" s="28"/>
      <c r="L690" s="28"/>
      <c r="M690" s="28"/>
      <c r="N690" s="28"/>
      <c r="O690" s="28"/>
      <c r="P690" s="28"/>
      <c r="Q690" s="28"/>
      <c r="R690" s="28"/>
      <c r="S690" s="28"/>
      <c r="T690" s="28"/>
      <c r="U690" s="7"/>
      <c r="V690" s="28"/>
      <c r="W690" s="28"/>
      <c r="X690" s="2"/>
      <c r="Y690" s="2"/>
      <c r="Z690" s="2"/>
    </row>
    <row r="691" spans="1:26" ht="19.5" customHeight="1">
      <c r="A691" s="28"/>
      <c r="B691" s="28"/>
      <c r="C691" s="28"/>
      <c r="D691" s="29"/>
      <c r="E691" s="29"/>
      <c r="F691" s="28"/>
      <c r="G691" s="28"/>
      <c r="H691" s="28"/>
      <c r="I691" s="28"/>
      <c r="J691" s="28"/>
      <c r="K691" s="28"/>
      <c r="L691" s="28"/>
      <c r="M691" s="28"/>
      <c r="N691" s="28"/>
      <c r="O691" s="28"/>
      <c r="P691" s="28"/>
      <c r="Q691" s="28"/>
      <c r="R691" s="28"/>
      <c r="S691" s="28"/>
      <c r="T691" s="28"/>
      <c r="U691" s="7"/>
      <c r="V691" s="28"/>
      <c r="W691" s="28"/>
      <c r="X691" s="2"/>
      <c r="Y691" s="2"/>
      <c r="Z691" s="2"/>
    </row>
    <row r="692" spans="1:26" ht="19.5" customHeight="1">
      <c r="A692" s="28"/>
      <c r="B692" s="28"/>
      <c r="C692" s="28"/>
      <c r="D692" s="29"/>
      <c r="E692" s="29"/>
      <c r="F692" s="28"/>
      <c r="G692" s="28"/>
      <c r="H692" s="28"/>
      <c r="I692" s="28"/>
      <c r="J692" s="28"/>
      <c r="K692" s="28"/>
      <c r="L692" s="28"/>
      <c r="M692" s="28"/>
      <c r="N692" s="28"/>
      <c r="O692" s="28"/>
      <c r="P692" s="28"/>
      <c r="Q692" s="28"/>
      <c r="R692" s="28"/>
      <c r="S692" s="28"/>
      <c r="T692" s="28"/>
      <c r="U692" s="7"/>
      <c r="V692" s="28"/>
      <c r="W692" s="28"/>
      <c r="X692" s="2"/>
      <c r="Y692" s="2"/>
      <c r="Z692" s="2"/>
    </row>
    <row r="693" spans="1:26" ht="19.5" customHeight="1">
      <c r="A693" s="28"/>
      <c r="B693" s="28"/>
      <c r="C693" s="28"/>
      <c r="D693" s="29"/>
      <c r="E693" s="29"/>
      <c r="F693" s="28"/>
      <c r="G693" s="28"/>
      <c r="H693" s="28"/>
      <c r="I693" s="28"/>
      <c r="J693" s="28"/>
      <c r="K693" s="28"/>
      <c r="L693" s="28"/>
      <c r="M693" s="28"/>
      <c r="N693" s="28"/>
      <c r="O693" s="28"/>
      <c r="P693" s="28"/>
      <c r="Q693" s="28"/>
      <c r="R693" s="28"/>
      <c r="S693" s="28"/>
      <c r="T693" s="28"/>
      <c r="U693" s="7"/>
      <c r="V693" s="28"/>
      <c r="W693" s="28"/>
      <c r="X693" s="2"/>
      <c r="Y693" s="2"/>
      <c r="Z693" s="2"/>
    </row>
    <row r="694" spans="1:26" ht="19.5" customHeight="1">
      <c r="A694" s="28"/>
      <c r="B694" s="28"/>
      <c r="C694" s="28"/>
      <c r="D694" s="29"/>
      <c r="E694" s="29"/>
      <c r="F694" s="28"/>
      <c r="G694" s="28"/>
      <c r="H694" s="28"/>
      <c r="I694" s="28"/>
      <c r="J694" s="28"/>
      <c r="K694" s="28"/>
      <c r="L694" s="28"/>
      <c r="M694" s="28"/>
      <c r="N694" s="28"/>
      <c r="O694" s="28"/>
      <c r="P694" s="28"/>
      <c r="Q694" s="28"/>
      <c r="R694" s="28"/>
      <c r="S694" s="28"/>
      <c r="T694" s="28"/>
      <c r="U694" s="7"/>
      <c r="V694" s="28"/>
      <c r="W694" s="28"/>
      <c r="X694" s="2"/>
      <c r="Y694" s="2"/>
      <c r="Z694" s="2"/>
    </row>
    <row r="695" spans="1:26" ht="19.5" customHeight="1">
      <c r="A695" s="28"/>
      <c r="B695" s="28"/>
      <c r="C695" s="28"/>
      <c r="D695" s="29"/>
      <c r="E695" s="29"/>
      <c r="F695" s="28"/>
      <c r="G695" s="28"/>
      <c r="H695" s="28"/>
      <c r="I695" s="28"/>
      <c r="J695" s="28"/>
      <c r="K695" s="28"/>
      <c r="L695" s="28"/>
      <c r="M695" s="28"/>
      <c r="N695" s="28"/>
      <c r="O695" s="28"/>
      <c r="P695" s="28"/>
      <c r="Q695" s="28"/>
      <c r="R695" s="28"/>
      <c r="S695" s="28"/>
      <c r="T695" s="28"/>
      <c r="U695" s="7"/>
      <c r="V695" s="28"/>
      <c r="W695" s="28"/>
      <c r="X695" s="2"/>
      <c r="Y695" s="2"/>
      <c r="Z695" s="2"/>
    </row>
    <row r="696" spans="1:26" ht="19.5" customHeight="1">
      <c r="A696" s="28"/>
      <c r="B696" s="28"/>
      <c r="C696" s="28"/>
      <c r="D696" s="29"/>
      <c r="E696" s="29"/>
      <c r="F696" s="28"/>
      <c r="G696" s="28"/>
      <c r="H696" s="28"/>
      <c r="I696" s="28"/>
      <c r="J696" s="28"/>
      <c r="K696" s="28"/>
      <c r="L696" s="28"/>
      <c r="M696" s="28"/>
      <c r="N696" s="28"/>
      <c r="O696" s="28"/>
      <c r="P696" s="28"/>
      <c r="Q696" s="28"/>
      <c r="R696" s="28"/>
      <c r="S696" s="28"/>
      <c r="T696" s="28"/>
      <c r="U696" s="7"/>
      <c r="V696" s="28"/>
      <c r="W696" s="28"/>
      <c r="X696" s="2"/>
      <c r="Y696" s="2"/>
      <c r="Z696" s="2"/>
    </row>
    <row r="697" spans="1:26" ht="19.5" customHeight="1">
      <c r="A697" s="28"/>
      <c r="B697" s="28"/>
      <c r="C697" s="28"/>
      <c r="D697" s="29"/>
      <c r="E697" s="29"/>
      <c r="F697" s="28"/>
      <c r="G697" s="28"/>
      <c r="H697" s="28"/>
      <c r="I697" s="28"/>
      <c r="J697" s="28"/>
      <c r="K697" s="28"/>
      <c r="L697" s="28"/>
      <c r="M697" s="28"/>
      <c r="N697" s="28"/>
      <c r="O697" s="28"/>
      <c r="P697" s="28"/>
      <c r="Q697" s="28"/>
      <c r="R697" s="28"/>
      <c r="S697" s="28"/>
      <c r="T697" s="28"/>
      <c r="U697" s="7"/>
      <c r="V697" s="28"/>
      <c r="W697" s="28"/>
      <c r="X697" s="2"/>
      <c r="Y697" s="2"/>
      <c r="Z697" s="2"/>
    </row>
    <row r="698" spans="1:26" ht="19.5" customHeight="1">
      <c r="A698" s="28"/>
      <c r="B698" s="28"/>
      <c r="C698" s="28"/>
      <c r="D698" s="29"/>
      <c r="E698" s="29"/>
      <c r="F698" s="28"/>
      <c r="G698" s="28"/>
      <c r="H698" s="28"/>
      <c r="I698" s="28"/>
      <c r="J698" s="28"/>
      <c r="K698" s="28"/>
      <c r="L698" s="28"/>
      <c r="M698" s="28"/>
      <c r="N698" s="28"/>
      <c r="O698" s="28"/>
      <c r="P698" s="28"/>
      <c r="Q698" s="28"/>
      <c r="R698" s="28"/>
      <c r="S698" s="28"/>
      <c r="T698" s="28"/>
      <c r="U698" s="7"/>
      <c r="V698" s="28"/>
      <c r="W698" s="28"/>
      <c r="X698" s="2"/>
      <c r="Y698" s="2"/>
      <c r="Z698" s="2"/>
    </row>
    <row r="699" spans="1:26" ht="19.5" customHeight="1">
      <c r="A699" s="28"/>
      <c r="B699" s="28"/>
      <c r="C699" s="28"/>
      <c r="D699" s="29"/>
      <c r="E699" s="29"/>
      <c r="F699" s="28"/>
      <c r="G699" s="28"/>
      <c r="H699" s="28"/>
      <c r="I699" s="28"/>
      <c r="J699" s="28"/>
      <c r="K699" s="28"/>
      <c r="L699" s="28"/>
      <c r="M699" s="28"/>
      <c r="N699" s="28"/>
      <c r="O699" s="28"/>
      <c r="P699" s="28"/>
      <c r="Q699" s="28"/>
      <c r="R699" s="28"/>
      <c r="S699" s="28"/>
      <c r="T699" s="28"/>
      <c r="U699" s="7"/>
      <c r="V699" s="28"/>
      <c r="W699" s="28"/>
      <c r="X699" s="2"/>
      <c r="Y699" s="2"/>
      <c r="Z699" s="2"/>
    </row>
    <row r="700" spans="1:26" ht="19.5" customHeight="1">
      <c r="A700" s="28"/>
      <c r="B700" s="28"/>
      <c r="C700" s="28"/>
      <c r="D700" s="29"/>
      <c r="E700" s="29"/>
      <c r="F700" s="28"/>
      <c r="G700" s="28"/>
      <c r="H700" s="28"/>
      <c r="I700" s="28"/>
      <c r="J700" s="28"/>
      <c r="K700" s="28"/>
      <c r="L700" s="28"/>
      <c r="M700" s="28"/>
      <c r="N700" s="28"/>
      <c r="O700" s="28"/>
      <c r="P700" s="28"/>
      <c r="Q700" s="28"/>
      <c r="R700" s="28"/>
      <c r="S700" s="28"/>
      <c r="T700" s="28"/>
      <c r="U700" s="7"/>
      <c r="V700" s="28"/>
      <c r="W700" s="28"/>
      <c r="X700" s="2"/>
      <c r="Y700" s="2"/>
      <c r="Z700" s="2"/>
    </row>
    <row r="701" spans="1:26" ht="19.5" customHeight="1">
      <c r="A701" s="28"/>
      <c r="B701" s="28"/>
      <c r="C701" s="28"/>
      <c r="D701" s="29"/>
      <c r="E701" s="29"/>
      <c r="F701" s="28"/>
      <c r="G701" s="28"/>
      <c r="H701" s="28"/>
      <c r="I701" s="28"/>
      <c r="J701" s="28"/>
      <c r="K701" s="28"/>
      <c r="L701" s="28"/>
      <c r="M701" s="28"/>
      <c r="N701" s="28"/>
      <c r="O701" s="28"/>
      <c r="P701" s="28"/>
      <c r="Q701" s="28"/>
      <c r="R701" s="28"/>
      <c r="S701" s="28"/>
      <c r="T701" s="28"/>
      <c r="U701" s="7"/>
      <c r="V701" s="28"/>
      <c r="W701" s="28"/>
      <c r="X701" s="2"/>
      <c r="Y701" s="2"/>
      <c r="Z701" s="2"/>
    </row>
    <row r="702" spans="1:26" ht="19.5" customHeight="1">
      <c r="A702" s="28"/>
      <c r="B702" s="28"/>
      <c r="C702" s="28"/>
      <c r="D702" s="29"/>
      <c r="E702" s="29"/>
      <c r="F702" s="28"/>
      <c r="G702" s="28"/>
      <c r="H702" s="28"/>
      <c r="I702" s="28"/>
      <c r="J702" s="28"/>
      <c r="K702" s="28"/>
      <c r="L702" s="28"/>
      <c r="M702" s="28"/>
      <c r="N702" s="28"/>
      <c r="O702" s="28"/>
      <c r="P702" s="28"/>
      <c r="Q702" s="28"/>
      <c r="R702" s="28"/>
      <c r="S702" s="28"/>
      <c r="T702" s="28"/>
      <c r="U702" s="7"/>
      <c r="V702" s="28"/>
      <c r="W702" s="28"/>
      <c r="X702" s="2"/>
      <c r="Y702" s="2"/>
      <c r="Z702" s="2"/>
    </row>
    <row r="703" spans="1:26" ht="19.5" customHeight="1">
      <c r="A703" s="28"/>
      <c r="B703" s="28"/>
      <c r="C703" s="28"/>
      <c r="D703" s="29"/>
      <c r="E703" s="29"/>
      <c r="F703" s="28"/>
      <c r="G703" s="28"/>
      <c r="H703" s="28"/>
      <c r="I703" s="28"/>
      <c r="J703" s="28"/>
      <c r="K703" s="28"/>
      <c r="L703" s="28"/>
      <c r="M703" s="28"/>
      <c r="N703" s="28"/>
      <c r="O703" s="28"/>
      <c r="P703" s="28"/>
      <c r="Q703" s="28"/>
      <c r="R703" s="28"/>
      <c r="S703" s="28"/>
      <c r="T703" s="28"/>
      <c r="U703" s="7"/>
      <c r="V703" s="28"/>
      <c r="W703" s="28"/>
      <c r="X703" s="2"/>
      <c r="Y703" s="2"/>
      <c r="Z703" s="2"/>
    </row>
    <row r="704" spans="1:26" ht="19.5" customHeight="1">
      <c r="A704" s="28"/>
      <c r="B704" s="28"/>
      <c r="C704" s="28"/>
      <c r="D704" s="29"/>
      <c r="E704" s="29"/>
      <c r="F704" s="28"/>
      <c r="G704" s="28"/>
      <c r="H704" s="28"/>
      <c r="I704" s="28"/>
      <c r="J704" s="28"/>
      <c r="K704" s="28"/>
      <c r="L704" s="28"/>
      <c r="M704" s="28"/>
      <c r="N704" s="28"/>
      <c r="O704" s="28"/>
      <c r="P704" s="28"/>
      <c r="Q704" s="28"/>
      <c r="R704" s="28"/>
      <c r="S704" s="28"/>
      <c r="T704" s="28"/>
      <c r="U704" s="7"/>
      <c r="V704" s="28"/>
      <c r="W704" s="28"/>
      <c r="X704" s="2"/>
      <c r="Y704" s="2"/>
      <c r="Z704" s="2"/>
    </row>
    <row r="705" spans="1:26" ht="19.5" customHeight="1">
      <c r="A705" s="28"/>
      <c r="B705" s="28"/>
      <c r="C705" s="28"/>
      <c r="D705" s="29"/>
      <c r="E705" s="29"/>
      <c r="F705" s="28"/>
      <c r="G705" s="28"/>
      <c r="H705" s="28"/>
      <c r="I705" s="28"/>
      <c r="J705" s="28"/>
      <c r="K705" s="28"/>
      <c r="L705" s="28"/>
      <c r="M705" s="28"/>
      <c r="N705" s="28"/>
      <c r="O705" s="28"/>
      <c r="P705" s="28"/>
      <c r="Q705" s="28"/>
      <c r="R705" s="28"/>
      <c r="S705" s="28"/>
      <c r="T705" s="28"/>
      <c r="U705" s="7"/>
      <c r="V705" s="28"/>
      <c r="W705" s="28"/>
      <c r="X705" s="2"/>
      <c r="Y705" s="2"/>
      <c r="Z705" s="2"/>
    </row>
    <row r="706" spans="1:26" ht="19.5" customHeight="1">
      <c r="A706" s="28"/>
      <c r="B706" s="28"/>
      <c r="C706" s="28"/>
      <c r="D706" s="29"/>
      <c r="E706" s="29"/>
      <c r="F706" s="28"/>
      <c r="G706" s="28"/>
      <c r="H706" s="28"/>
      <c r="I706" s="28"/>
      <c r="J706" s="28"/>
      <c r="K706" s="28"/>
      <c r="L706" s="28"/>
      <c r="M706" s="28"/>
      <c r="N706" s="28"/>
      <c r="O706" s="28"/>
      <c r="P706" s="28"/>
      <c r="Q706" s="28"/>
      <c r="R706" s="28"/>
      <c r="S706" s="28"/>
      <c r="T706" s="28"/>
      <c r="U706" s="7"/>
      <c r="V706" s="28"/>
      <c r="W706" s="28"/>
      <c r="X706" s="2"/>
      <c r="Y706" s="2"/>
      <c r="Z706" s="2"/>
    </row>
    <row r="707" spans="1:26" ht="19.5" customHeight="1">
      <c r="A707" s="28"/>
      <c r="B707" s="28"/>
      <c r="C707" s="28"/>
      <c r="D707" s="29"/>
      <c r="E707" s="29"/>
      <c r="F707" s="28"/>
      <c r="G707" s="28"/>
      <c r="H707" s="28"/>
      <c r="I707" s="28"/>
      <c r="J707" s="28"/>
      <c r="K707" s="28"/>
      <c r="L707" s="28"/>
      <c r="M707" s="28"/>
      <c r="N707" s="28"/>
      <c r="O707" s="28"/>
      <c r="P707" s="28"/>
      <c r="Q707" s="28"/>
      <c r="R707" s="28"/>
      <c r="S707" s="28"/>
      <c r="T707" s="28"/>
      <c r="U707" s="7"/>
      <c r="V707" s="28"/>
      <c r="W707" s="28"/>
      <c r="X707" s="2"/>
      <c r="Y707" s="2"/>
      <c r="Z707" s="2"/>
    </row>
    <row r="708" spans="1:26" ht="19.5" customHeight="1">
      <c r="A708" s="28"/>
      <c r="B708" s="28"/>
      <c r="C708" s="28"/>
      <c r="D708" s="29"/>
      <c r="E708" s="29"/>
      <c r="F708" s="28"/>
      <c r="G708" s="28"/>
      <c r="H708" s="28"/>
      <c r="I708" s="28"/>
      <c r="J708" s="28"/>
      <c r="K708" s="28"/>
      <c r="L708" s="28"/>
      <c r="M708" s="28"/>
      <c r="N708" s="28"/>
      <c r="O708" s="28"/>
      <c r="P708" s="28"/>
      <c r="Q708" s="28"/>
      <c r="R708" s="28"/>
      <c r="S708" s="28"/>
      <c r="T708" s="28"/>
      <c r="U708" s="7"/>
      <c r="V708" s="28"/>
      <c r="W708" s="28"/>
      <c r="X708" s="2"/>
      <c r="Y708" s="2"/>
      <c r="Z708" s="2"/>
    </row>
    <row r="709" spans="1:26" ht="19.5" customHeight="1">
      <c r="A709" s="28"/>
      <c r="B709" s="28"/>
      <c r="C709" s="28"/>
      <c r="D709" s="29"/>
      <c r="E709" s="29"/>
      <c r="F709" s="28"/>
      <c r="G709" s="28"/>
      <c r="H709" s="28"/>
      <c r="I709" s="28"/>
      <c r="J709" s="28"/>
      <c r="K709" s="28"/>
      <c r="L709" s="28"/>
      <c r="M709" s="28"/>
      <c r="N709" s="28"/>
      <c r="O709" s="28"/>
      <c r="P709" s="28"/>
      <c r="Q709" s="28"/>
      <c r="R709" s="28"/>
      <c r="S709" s="28"/>
      <c r="T709" s="28"/>
      <c r="U709" s="7"/>
      <c r="V709" s="28"/>
      <c r="W709" s="28"/>
      <c r="X709" s="2"/>
      <c r="Y709" s="2"/>
      <c r="Z709" s="2"/>
    </row>
    <row r="710" spans="1:26" ht="19.5" customHeight="1">
      <c r="A710" s="28"/>
      <c r="B710" s="28"/>
      <c r="C710" s="28"/>
      <c r="D710" s="29"/>
      <c r="E710" s="29"/>
      <c r="F710" s="28"/>
      <c r="G710" s="28"/>
      <c r="H710" s="28"/>
      <c r="I710" s="28"/>
      <c r="J710" s="28"/>
      <c r="K710" s="28"/>
      <c r="L710" s="28"/>
      <c r="M710" s="28"/>
      <c r="N710" s="28"/>
      <c r="O710" s="28"/>
      <c r="P710" s="28"/>
      <c r="Q710" s="28"/>
      <c r="R710" s="28"/>
      <c r="S710" s="28"/>
      <c r="T710" s="28"/>
      <c r="U710" s="7"/>
      <c r="V710" s="28"/>
      <c r="W710" s="28"/>
      <c r="X710" s="2"/>
      <c r="Y710" s="2"/>
      <c r="Z710" s="2"/>
    </row>
    <row r="711" spans="1:26" ht="19.5" customHeight="1">
      <c r="A711" s="28"/>
      <c r="B711" s="28"/>
      <c r="C711" s="28"/>
      <c r="D711" s="29"/>
      <c r="E711" s="29"/>
      <c r="F711" s="28"/>
      <c r="G711" s="28"/>
      <c r="H711" s="28"/>
      <c r="I711" s="28"/>
      <c r="J711" s="28"/>
      <c r="K711" s="28"/>
      <c r="L711" s="28"/>
      <c r="M711" s="28"/>
      <c r="N711" s="28"/>
      <c r="O711" s="28"/>
      <c r="P711" s="28"/>
      <c r="Q711" s="28"/>
      <c r="R711" s="28"/>
      <c r="S711" s="28"/>
      <c r="T711" s="28"/>
      <c r="U711" s="7"/>
      <c r="V711" s="28"/>
      <c r="W711" s="28"/>
      <c r="X711" s="2"/>
      <c r="Y711" s="2"/>
      <c r="Z711" s="2"/>
    </row>
    <row r="712" spans="1:26" ht="19.5" customHeight="1">
      <c r="A712" s="28"/>
      <c r="B712" s="28"/>
      <c r="C712" s="28"/>
      <c r="D712" s="29"/>
      <c r="E712" s="29"/>
      <c r="F712" s="28"/>
      <c r="G712" s="28"/>
      <c r="H712" s="28"/>
      <c r="I712" s="28"/>
      <c r="J712" s="28"/>
      <c r="K712" s="28"/>
      <c r="L712" s="28"/>
      <c r="M712" s="28"/>
      <c r="N712" s="28"/>
      <c r="O712" s="28"/>
      <c r="P712" s="28"/>
      <c r="Q712" s="28"/>
      <c r="R712" s="28"/>
      <c r="S712" s="28"/>
      <c r="T712" s="28"/>
      <c r="U712" s="7"/>
      <c r="V712" s="28"/>
      <c r="W712" s="28"/>
      <c r="X712" s="2"/>
      <c r="Y712" s="2"/>
      <c r="Z712" s="2"/>
    </row>
    <row r="713" spans="1:26" ht="19.5" customHeight="1">
      <c r="A713" s="28"/>
      <c r="B713" s="28"/>
      <c r="C713" s="28"/>
      <c r="D713" s="29"/>
      <c r="E713" s="29"/>
      <c r="F713" s="28"/>
      <c r="G713" s="28"/>
      <c r="H713" s="28"/>
      <c r="I713" s="28"/>
      <c r="J713" s="28"/>
      <c r="K713" s="28"/>
      <c r="L713" s="28"/>
      <c r="M713" s="28"/>
      <c r="N713" s="28"/>
      <c r="O713" s="28"/>
      <c r="P713" s="28"/>
      <c r="Q713" s="28"/>
      <c r="R713" s="28"/>
      <c r="S713" s="28"/>
      <c r="T713" s="28"/>
      <c r="U713" s="7"/>
      <c r="V713" s="28"/>
      <c r="W713" s="28"/>
      <c r="X713" s="2"/>
      <c r="Y713" s="2"/>
      <c r="Z713" s="2"/>
    </row>
    <row r="714" spans="1:26" ht="19.5" customHeight="1">
      <c r="A714" s="28"/>
      <c r="B714" s="28"/>
      <c r="C714" s="28"/>
      <c r="D714" s="29"/>
      <c r="E714" s="29"/>
      <c r="F714" s="28"/>
      <c r="G714" s="28"/>
      <c r="H714" s="28"/>
      <c r="I714" s="28"/>
      <c r="J714" s="28"/>
      <c r="K714" s="28"/>
      <c r="L714" s="28"/>
      <c r="M714" s="28"/>
      <c r="N714" s="28"/>
      <c r="O714" s="28"/>
      <c r="P714" s="28"/>
      <c r="Q714" s="28"/>
      <c r="R714" s="28"/>
      <c r="S714" s="28"/>
      <c r="T714" s="28"/>
      <c r="U714" s="7"/>
      <c r="V714" s="28"/>
      <c r="W714" s="28"/>
      <c r="X714" s="2"/>
      <c r="Y714" s="2"/>
      <c r="Z714" s="2"/>
    </row>
    <row r="715" spans="1:26" ht="19.5" customHeight="1">
      <c r="A715" s="28"/>
      <c r="B715" s="28"/>
      <c r="C715" s="28"/>
      <c r="D715" s="29"/>
      <c r="E715" s="29"/>
      <c r="F715" s="28"/>
      <c r="G715" s="28"/>
      <c r="H715" s="28"/>
      <c r="I715" s="28"/>
      <c r="J715" s="28"/>
      <c r="K715" s="28"/>
      <c r="L715" s="28"/>
      <c r="M715" s="28"/>
      <c r="N715" s="28"/>
      <c r="O715" s="28"/>
      <c r="P715" s="28"/>
      <c r="Q715" s="28"/>
      <c r="R715" s="28"/>
      <c r="S715" s="28"/>
      <c r="T715" s="28"/>
      <c r="U715" s="7"/>
      <c r="V715" s="28"/>
      <c r="W715" s="28"/>
      <c r="X715" s="2"/>
      <c r="Y715" s="2"/>
      <c r="Z715" s="2"/>
    </row>
    <row r="716" spans="1:26" ht="19.5" customHeight="1">
      <c r="A716" s="28"/>
      <c r="B716" s="28"/>
      <c r="C716" s="28"/>
      <c r="D716" s="29"/>
      <c r="E716" s="29"/>
      <c r="F716" s="28"/>
      <c r="G716" s="28"/>
      <c r="H716" s="28"/>
      <c r="I716" s="28"/>
      <c r="J716" s="28"/>
      <c r="K716" s="28"/>
      <c r="L716" s="28"/>
      <c r="M716" s="28"/>
      <c r="N716" s="28"/>
      <c r="O716" s="28"/>
      <c r="P716" s="28"/>
      <c r="Q716" s="28"/>
      <c r="R716" s="28"/>
      <c r="S716" s="28"/>
      <c r="T716" s="28"/>
      <c r="U716" s="7"/>
      <c r="V716" s="28"/>
      <c r="W716" s="28"/>
      <c r="X716" s="2"/>
      <c r="Y716" s="2"/>
      <c r="Z716" s="2"/>
    </row>
    <row r="717" spans="1:26" ht="19.5" customHeight="1">
      <c r="A717" s="28"/>
      <c r="B717" s="28"/>
      <c r="C717" s="28"/>
      <c r="D717" s="29"/>
      <c r="E717" s="29"/>
      <c r="F717" s="28"/>
      <c r="G717" s="28"/>
      <c r="H717" s="28"/>
      <c r="I717" s="28"/>
      <c r="J717" s="28"/>
      <c r="K717" s="28"/>
      <c r="L717" s="28"/>
      <c r="M717" s="28"/>
      <c r="N717" s="28"/>
      <c r="O717" s="28"/>
      <c r="P717" s="28"/>
      <c r="Q717" s="28"/>
      <c r="R717" s="28"/>
      <c r="S717" s="28"/>
      <c r="T717" s="28"/>
      <c r="U717" s="7"/>
      <c r="V717" s="28"/>
      <c r="W717" s="28"/>
      <c r="X717" s="2"/>
      <c r="Y717" s="2"/>
      <c r="Z717" s="2"/>
    </row>
    <row r="718" spans="1:26" ht="19.5" customHeight="1">
      <c r="A718" s="28"/>
      <c r="B718" s="28"/>
      <c r="C718" s="28"/>
      <c r="D718" s="29"/>
      <c r="E718" s="29"/>
      <c r="F718" s="28"/>
      <c r="G718" s="28"/>
      <c r="H718" s="28"/>
      <c r="I718" s="28"/>
      <c r="J718" s="28"/>
      <c r="K718" s="28"/>
      <c r="L718" s="28"/>
      <c r="M718" s="28"/>
      <c r="N718" s="28"/>
      <c r="O718" s="28"/>
      <c r="P718" s="28"/>
      <c r="Q718" s="28"/>
      <c r="R718" s="28"/>
      <c r="S718" s="28"/>
      <c r="T718" s="28"/>
      <c r="U718" s="7"/>
      <c r="V718" s="28"/>
      <c r="W718" s="28"/>
      <c r="X718" s="2"/>
      <c r="Y718" s="2"/>
      <c r="Z718" s="2"/>
    </row>
    <row r="719" spans="1:26" ht="19.5" customHeight="1">
      <c r="A719" s="28"/>
      <c r="B719" s="28"/>
      <c r="C719" s="28"/>
      <c r="D719" s="29"/>
      <c r="E719" s="29"/>
      <c r="F719" s="28"/>
      <c r="G719" s="28"/>
      <c r="H719" s="28"/>
      <c r="I719" s="28"/>
      <c r="J719" s="28"/>
      <c r="K719" s="28"/>
      <c r="L719" s="28"/>
      <c r="M719" s="28"/>
      <c r="N719" s="28"/>
      <c r="O719" s="28"/>
      <c r="P719" s="28"/>
      <c r="Q719" s="28"/>
      <c r="R719" s="28"/>
      <c r="S719" s="28"/>
      <c r="T719" s="28"/>
      <c r="U719" s="7"/>
      <c r="V719" s="28"/>
      <c r="W719" s="28"/>
      <c r="X719" s="2"/>
      <c r="Y719" s="2"/>
      <c r="Z719" s="2"/>
    </row>
    <row r="720" spans="1:26" ht="19.5" customHeight="1">
      <c r="A720" s="28"/>
      <c r="B720" s="28"/>
      <c r="C720" s="28"/>
      <c r="D720" s="29"/>
      <c r="E720" s="29"/>
      <c r="F720" s="28"/>
      <c r="G720" s="28"/>
      <c r="H720" s="28"/>
      <c r="I720" s="28"/>
      <c r="J720" s="28"/>
      <c r="K720" s="28"/>
      <c r="L720" s="28"/>
      <c r="M720" s="28"/>
      <c r="N720" s="28"/>
      <c r="O720" s="28"/>
      <c r="P720" s="28"/>
      <c r="Q720" s="28"/>
      <c r="R720" s="28"/>
      <c r="S720" s="28"/>
      <c r="T720" s="28"/>
      <c r="U720" s="7"/>
      <c r="V720" s="28"/>
      <c r="W720" s="28"/>
      <c r="X720" s="2"/>
      <c r="Y720" s="2"/>
      <c r="Z720" s="2"/>
    </row>
    <row r="721" spans="1:26" ht="19.5" customHeight="1">
      <c r="A721" s="28"/>
      <c r="B721" s="28"/>
      <c r="C721" s="28"/>
      <c r="D721" s="29"/>
      <c r="E721" s="29"/>
      <c r="F721" s="28"/>
      <c r="G721" s="28"/>
      <c r="H721" s="28"/>
      <c r="I721" s="28"/>
      <c r="J721" s="28"/>
      <c r="K721" s="28"/>
      <c r="L721" s="28"/>
      <c r="M721" s="28"/>
      <c r="N721" s="28"/>
      <c r="O721" s="28"/>
      <c r="P721" s="28"/>
      <c r="Q721" s="28"/>
      <c r="R721" s="28"/>
      <c r="S721" s="28"/>
      <c r="T721" s="28"/>
      <c r="U721" s="7"/>
      <c r="V721" s="28"/>
      <c r="W721" s="28"/>
      <c r="X721" s="2"/>
      <c r="Y721" s="2"/>
      <c r="Z721" s="2"/>
    </row>
    <row r="722" spans="1:26" ht="19.5" customHeight="1">
      <c r="A722" s="28"/>
      <c r="B722" s="28"/>
      <c r="C722" s="28"/>
      <c r="D722" s="29"/>
      <c r="E722" s="29"/>
      <c r="F722" s="28"/>
      <c r="G722" s="28"/>
      <c r="H722" s="28"/>
      <c r="I722" s="28"/>
      <c r="J722" s="28"/>
      <c r="K722" s="28"/>
      <c r="L722" s="28"/>
      <c r="M722" s="28"/>
      <c r="N722" s="28"/>
      <c r="O722" s="28"/>
      <c r="P722" s="28"/>
      <c r="Q722" s="28"/>
      <c r="R722" s="28"/>
      <c r="S722" s="28"/>
      <c r="T722" s="28"/>
      <c r="U722" s="7"/>
      <c r="V722" s="28"/>
      <c r="W722" s="28"/>
      <c r="X722" s="2"/>
      <c r="Y722" s="2"/>
      <c r="Z722" s="2"/>
    </row>
    <row r="723" spans="1:26" ht="19.5" customHeight="1">
      <c r="A723" s="28"/>
      <c r="B723" s="28"/>
      <c r="C723" s="28"/>
      <c r="D723" s="29"/>
      <c r="E723" s="29"/>
      <c r="F723" s="28"/>
      <c r="G723" s="28"/>
      <c r="H723" s="28"/>
      <c r="I723" s="28"/>
      <c r="J723" s="28"/>
      <c r="K723" s="28"/>
      <c r="L723" s="28"/>
      <c r="M723" s="28"/>
      <c r="N723" s="28"/>
      <c r="O723" s="28"/>
      <c r="P723" s="28"/>
      <c r="Q723" s="28"/>
      <c r="R723" s="28"/>
      <c r="S723" s="28"/>
      <c r="T723" s="28"/>
      <c r="U723" s="7"/>
      <c r="V723" s="28"/>
      <c r="W723" s="28"/>
      <c r="X723" s="2"/>
      <c r="Y723" s="2"/>
      <c r="Z723" s="2"/>
    </row>
    <row r="724" spans="1:26" ht="19.5" customHeight="1">
      <c r="A724" s="28"/>
      <c r="B724" s="28"/>
      <c r="C724" s="28"/>
      <c r="D724" s="29"/>
      <c r="E724" s="29"/>
      <c r="F724" s="28"/>
      <c r="G724" s="28"/>
      <c r="H724" s="28"/>
      <c r="I724" s="28"/>
      <c r="J724" s="28"/>
      <c r="K724" s="28"/>
      <c r="L724" s="28"/>
      <c r="M724" s="28"/>
      <c r="N724" s="28"/>
      <c r="O724" s="28"/>
      <c r="P724" s="28"/>
      <c r="Q724" s="28"/>
      <c r="R724" s="28"/>
      <c r="S724" s="28"/>
      <c r="T724" s="28"/>
      <c r="U724" s="7"/>
      <c r="V724" s="28"/>
      <c r="W724" s="28"/>
      <c r="X724" s="2"/>
      <c r="Y724" s="2"/>
      <c r="Z724" s="2"/>
    </row>
    <row r="725" spans="1:26" ht="19.5" customHeight="1">
      <c r="A725" s="28"/>
      <c r="B725" s="28"/>
      <c r="C725" s="28"/>
      <c r="D725" s="29"/>
      <c r="E725" s="29"/>
      <c r="F725" s="28"/>
      <c r="G725" s="28"/>
      <c r="H725" s="28"/>
      <c r="I725" s="28"/>
      <c r="J725" s="28"/>
      <c r="K725" s="28"/>
      <c r="L725" s="28"/>
      <c r="M725" s="28"/>
      <c r="N725" s="28"/>
      <c r="O725" s="28"/>
      <c r="P725" s="28"/>
      <c r="Q725" s="28"/>
      <c r="R725" s="28"/>
      <c r="S725" s="28"/>
      <c r="T725" s="28"/>
      <c r="U725" s="7"/>
      <c r="V725" s="28"/>
      <c r="W725" s="28"/>
      <c r="X725" s="2"/>
      <c r="Y725" s="2"/>
      <c r="Z725" s="2"/>
    </row>
    <row r="726" spans="1:26" ht="19.5" customHeight="1">
      <c r="A726" s="28"/>
      <c r="B726" s="28"/>
      <c r="C726" s="28"/>
      <c r="D726" s="29"/>
      <c r="E726" s="29"/>
      <c r="F726" s="28"/>
      <c r="G726" s="28"/>
      <c r="H726" s="28"/>
      <c r="I726" s="28"/>
      <c r="J726" s="28"/>
      <c r="K726" s="28"/>
      <c r="L726" s="28"/>
      <c r="M726" s="28"/>
      <c r="N726" s="28"/>
      <c r="O726" s="28"/>
      <c r="P726" s="28"/>
      <c r="Q726" s="28"/>
      <c r="R726" s="28"/>
      <c r="S726" s="28"/>
      <c r="T726" s="28"/>
      <c r="U726" s="7"/>
      <c r="V726" s="28"/>
      <c r="W726" s="28"/>
      <c r="X726" s="2"/>
      <c r="Y726" s="2"/>
      <c r="Z726" s="2"/>
    </row>
    <row r="727" spans="1:26" ht="19.5" customHeight="1">
      <c r="A727" s="28"/>
      <c r="B727" s="28"/>
      <c r="C727" s="28"/>
      <c r="D727" s="29"/>
      <c r="E727" s="29"/>
      <c r="F727" s="28"/>
      <c r="G727" s="28"/>
      <c r="H727" s="28"/>
      <c r="I727" s="28"/>
      <c r="J727" s="28"/>
      <c r="K727" s="28"/>
      <c r="L727" s="28"/>
      <c r="M727" s="28"/>
      <c r="N727" s="28"/>
      <c r="O727" s="28"/>
      <c r="P727" s="28"/>
      <c r="Q727" s="28"/>
      <c r="R727" s="28"/>
      <c r="S727" s="28"/>
      <c r="T727" s="28"/>
      <c r="U727" s="7"/>
      <c r="V727" s="28"/>
      <c r="W727" s="28"/>
      <c r="X727" s="2"/>
      <c r="Y727" s="2"/>
      <c r="Z727" s="2"/>
    </row>
    <row r="728" spans="1:26" ht="19.5" customHeight="1">
      <c r="A728" s="28"/>
      <c r="B728" s="28"/>
      <c r="C728" s="28"/>
      <c r="D728" s="29"/>
      <c r="E728" s="29"/>
      <c r="F728" s="28"/>
      <c r="G728" s="28"/>
      <c r="H728" s="28"/>
      <c r="I728" s="28"/>
      <c r="J728" s="28"/>
      <c r="K728" s="28"/>
      <c r="L728" s="28"/>
      <c r="M728" s="28"/>
      <c r="N728" s="28"/>
      <c r="O728" s="28"/>
      <c r="P728" s="28"/>
      <c r="Q728" s="28"/>
      <c r="R728" s="28"/>
      <c r="S728" s="28"/>
      <c r="T728" s="28"/>
      <c r="U728" s="7"/>
      <c r="V728" s="28"/>
      <c r="W728" s="28"/>
      <c r="X728" s="2"/>
      <c r="Y728" s="2"/>
      <c r="Z728" s="2"/>
    </row>
    <row r="729" spans="1:26" ht="19.5" customHeight="1">
      <c r="A729" s="28"/>
      <c r="B729" s="28"/>
      <c r="C729" s="28"/>
      <c r="D729" s="29"/>
      <c r="E729" s="29"/>
      <c r="F729" s="28"/>
      <c r="G729" s="28"/>
      <c r="H729" s="28"/>
      <c r="I729" s="28"/>
      <c r="J729" s="28"/>
      <c r="K729" s="28"/>
      <c r="L729" s="28"/>
      <c r="M729" s="28"/>
      <c r="N729" s="28"/>
      <c r="O729" s="28"/>
      <c r="P729" s="28"/>
      <c r="Q729" s="28"/>
      <c r="R729" s="28"/>
      <c r="S729" s="28"/>
      <c r="T729" s="28"/>
      <c r="U729" s="7"/>
      <c r="V729" s="28"/>
      <c r="W729" s="28"/>
      <c r="X729" s="2"/>
      <c r="Y729" s="2"/>
      <c r="Z729" s="2"/>
    </row>
    <row r="730" spans="1:26" ht="19.5" customHeight="1">
      <c r="A730" s="28"/>
      <c r="B730" s="28"/>
      <c r="C730" s="28"/>
      <c r="D730" s="29"/>
      <c r="E730" s="29"/>
      <c r="F730" s="28"/>
      <c r="G730" s="28"/>
      <c r="H730" s="28"/>
      <c r="I730" s="28"/>
      <c r="J730" s="28"/>
      <c r="K730" s="28"/>
      <c r="L730" s="28"/>
      <c r="M730" s="28"/>
      <c r="N730" s="28"/>
      <c r="O730" s="28"/>
      <c r="P730" s="28"/>
      <c r="Q730" s="28"/>
      <c r="R730" s="28"/>
      <c r="S730" s="28"/>
      <c r="T730" s="28"/>
      <c r="U730" s="7"/>
      <c r="V730" s="28"/>
      <c r="W730" s="28"/>
      <c r="X730" s="2"/>
      <c r="Y730" s="2"/>
      <c r="Z730" s="2"/>
    </row>
    <row r="731" spans="1:26" ht="19.5" customHeight="1">
      <c r="A731" s="28"/>
      <c r="B731" s="28"/>
      <c r="C731" s="28"/>
      <c r="D731" s="29"/>
      <c r="E731" s="29"/>
      <c r="F731" s="28"/>
      <c r="G731" s="28"/>
      <c r="H731" s="28"/>
      <c r="I731" s="28"/>
      <c r="J731" s="28"/>
      <c r="K731" s="28"/>
      <c r="L731" s="28"/>
      <c r="M731" s="28"/>
      <c r="N731" s="28"/>
      <c r="O731" s="28"/>
      <c r="P731" s="28"/>
      <c r="Q731" s="28"/>
      <c r="R731" s="28"/>
      <c r="S731" s="28"/>
      <c r="T731" s="28"/>
      <c r="U731" s="7"/>
      <c r="V731" s="28"/>
      <c r="W731" s="28"/>
      <c r="X731" s="2"/>
      <c r="Y731" s="2"/>
      <c r="Z731" s="2"/>
    </row>
    <row r="732" spans="1:26" ht="19.5" customHeight="1">
      <c r="A732" s="28"/>
      <c r="B732" s="28"/>
      <c r="C732" s="28"/>
      <c r="D732" s="29"/>
      <c r="E732" s="29"/>
      <c r="F732" s="28"/>
      <c r="G732" s="28"/>
      <c r="H732" s="28"/>
      <c r="I732" s="28"/>
      <c r="J732" s="28"/>
      <c r="K732" s="28"/>
      <c r="L732" s="28"/>
      <c r="M732" s="28"/>
      <c r="N732" s="28"/>
      <c r="O732" s="28"/>
      <c r="P732" s="28"/>
      <c r="Q732" s="28"/>
      <c r="R732" s="28"/>
      <c r="S732" s="28"/>
      <c r="T732" s="28"/>
      <c r="U732" s="7"/>
      <c r="V732" s="28"/>
      <c r="W732" s="28"/>
      <c r="X732" s="2"/>
      <c r="Y732" s="2"/>
      <c r="Z732" s="2"/>
    </row>
    <row r="733" spans="1:26" ht="19.5" customHeight="1">
      <c r="A733" s="28"/>
      <c r="B733" s="28"/>
      <c r="C733" s="28"/>
      <c r="D733" s="29"/>
      <c r="E733" s="29"/>
      <c r="F733" s="28"/>
      <c r="G733" s="28"/>
      <c r="H733" s="28"/>
      <c r="I733" s="28"/>
      <c r="J733" s="28"/>
      <c r="K733" s="28"/>
      <c r="L733" s="28"/>
      <c r="M733" s="28"/>
      <c r="N733" s="28"/>
      <c r="O733" s="28"/>
      <c r="P733" s="28"/>
      <c r="Q733" s="28"/>
      <c r="R733" s="28"/>
      <c r="S733" s="28"/>
      <c r="T733" s="28"/>
      <c r="U733" s="7"/>
      <c r="V733" s="28"/>
      <c r="W733" s="28"/>
      <c r="X733" s="2"/>
      <c r="Y733" s="2"/>
      <c r="Z733" s="2"/>
    </row>
    <row r="734" spans="1:26" ht="19.5" customHeight="1">
      <c r="A734" s="28"/>
      <c r="B734" s="28"/>
      <c r="C734" s="28"/>
      <c r="D734" s="29"/>
      <c r="E734" s="29"/>
      <c r="F734" s="28"/>
      <c r="G734" s="28"/>
      <c r="H734" s="28"/>
      <c r="I734" s="28"/>
      <c r="J734" s="28"/>
      <c r="K734" s="28"/>
      <c r="L734" s="28"/>
      <c r="M734" s="28"/>
      <c r="N734" s="28"/>
      <c r="O734" s="28"/>
      <c r="P734" s="28"/>
      <c r="Q734" s="28"/>
      <c r="R734" s="28"/>
      <c r="S734" s="28"/>
      <c r="T734" s="28"/>
      <c r="U734" s="7"/>
      <c r="V734" s="28"/>
      <c r="W734" s="28"/>
      <c r="X734" s="2"/>
      <c r="Y734" s="2"/>
      <c r="Z734" s="2"/>
    </row>
    <row r="735" spans="1:26" ht="19.5" customHeight="1">
      <c r="A735" s="28"/>
      <c r="B735" s="28"/>
      <c r="C735" s="28"/>
      <c r="D735" s="29"/>
      <c r="E735" s="29"/>
      <c r="F735" s="28"/>
      <c r="G735" s="28"/>
      <c r="H735" s="28"/>
      <c r="I735" s="28"/>
      <c r="J735" s="28"/>
      <c r="K735" s="28"/>
      <c r="L735" s="28"/>
      <c r="M735" s="28"/>
      <c r="N735" s="28"/>
      <c r="O735" s="28"/>
      <c r="P735" s="28"/>
      <c r="Q735" s="28"/>
      <c r="R735" s="28"/>
      <c r="S735" s="28"/>
      <c r="T735" s="28"/>
      <c r="U735" s="7"/>
      <c r="V735" s="28"/>
      <c r="W735" s="28"/>
      <c r="X735" s="2"/>
      <c r="Y735" s="2"/>
      <c r="Z735" s="2"/>
    </row>
    <row r="736" spans="1:26" ht="19.5" customHeight="1">
      <c r="A736" s="28"/>
      <c r="B736" s="28"/>
      <c r="C736" s="28"/>
      <c r="D736" s="29"/>
      <c r="E736" s="29"/>
      <c r="F736" s="28"/>
      <c r="G736" s="28"/>
      <c r="H736" s="28"/>
      <c r="I736" s="28"/>
      <c r="J736" s="28"/>
      <c r="K736" s="28"/>
      <c r="L736" s="28"/>
      <c r="M736" s="28"/>
      <c r="N736" s="28"/>
      <c r="O736" s="28"/>
      <c r="P736" s="28"/>
      <c r="Q736" s="28"/>
      <c r="R736" s="28"/>
      <c r="S736" s="28"/>
      <c r="T736" s="28"/>
      <c r="U736" s="7"/>
      <c r="V736" s="28"/>
      <c r="W736" s="28"/>
      <c r="X736" s="2"/>
      <c r="Y736" s="2"/>
      <c r="Z736" s="2"/>
    </row>
    <row r="737" spans="1:26" ht="19.5" customHeight="1">
      <c r="A737" s="28"/>
      <c r="B737" s="28"/>
      <c r="C737" s="28"/>
      <c r="D737" s="29"/>
      <c r="E737" s="29"/>
      <c r="F737" s="28"/>
      <c r="G737" s="28"/>
      <c r="H737" s="28"/>
      <c r="I737" s="28"/>
      <c r="J737" s="28"/>
      <c r="K737" s="28"/>
      <c r="L737" s="28"/>
      <c r="M737" s="28"/>
      <c r="N737" s="28"/>
      <c r="O737" s="28"/>
      <c r="P737" s="28"/>
      <c r="Q737" s="28"/>
      <c r="R737" s="28"/>
      <c r="S737" s="28"/>
      <c r="T737" s="28"/>
      <c r="U737" s="7"/>
      <c r="V737" s="28"/>
      <c r="W737" s="28"/>
      <c r="X737" s="2"/>
      <c r="Y737" s="2"/>
      <c r="Z737" s="2"/>
    </row>
    <row r="738" spans="1:26" ht="19.5" customHeight="1">
      <c r="A738" s="28"/>
      <c r="B738" s="28"/>
      <c r="C738" s="28"/>
      <c r="D738" s="29"/>
      <c r="E738" s="29"/>
      <c r="F738" s="28"/>
      <c r="G738" s="28"/>
      <c r="H738" s="28"/>
      <c r="I738" s="28"/>
      <c r="J738" s="28"/>
      <c r="K738" s="28"/>
      <c r="L738" s="28"/>
      <c r="M738" s="28"/>
      <c r="N738" s="28"/>
      <c r="O738" s="28"/>
      <c r="P738" s="28"/>
      <c r="Q738" s="28"/>
      <c r="R738" s="28"/>
      <c r="S738" s="28"/>
      <c r="T738" s="28"/>
      <c r="U738" s="7"/>
      <c r="V738" s="28"/>
      <c r="W738" s="28"/>
      <c r="X738" s="2"/>
      <c r="Y738" s="2"/>
      <c r="Z738" s="2"/>
    </row>
    <row r="739" spans="1:26" ht="19.5" customHeight="1">
      <c r="A739" s="28"/>
      <c r="B739" s="28"/>
      <c r="C739" s="28"/>
      <c r="D739" s="29"/>
      <c r="E739" s="29"/>
      <c r="F739" s="28"/>
      <c r="G739" s="28"/>
      <c r="H739" s="28"/>
      <c r="I739" s="28"/>
      <c r="J739" s="28"/>
      <c r="K739" s="28"/>
      <c r="L739" s="28"/>
      <c r="M739" s="28"/>
      <c r="N739" s="28"/>
      <c r="O739" s="28"/>
      <c r="P739" s="28"/>
      <c r="Q739" s="28"/>
      <c r="R739" s="28"/>
      <c r="S739" s="28"/>
      <c r="T739" s="28"/>
      <c r="U739" s="7"/>
      <c r="V739" s="28"/>
      <c r="W739" s="28"/>
      <c r="X739" s="2"/>
      <c r="Y739" s="2"/>
      <c r="Z739" s="2"/>
    </row>
    <row r="740" spans="1:26" ht="19.5" customHeight="1">
      <c r="A740" s="28"/>
      <c r="B740" s="28"/>
      <c r="C740" s="28"/>
      <c r="D740" s="29"/>
      <c r="E740" s="29"/>
      <c r="F740" s="28"/>
      <c r="G740" s="28"/>
      <c r="H740" s="28"/>
      <c r="I740" s="28"/>
      <c r="J740" s="28"/>
      <c r="K740" s="28"/>
      <c r="L740" s="28"/>
      <c r="M740" s="28"/>
      <c r="N740" s="28"/>
      <c r="O740" s="28"/>
      <c r="P740" s="28"/>
      <c r="Q740" s="28"/>
      <c r="R740" s="28"/>
      <c r="S740" s="28"/>
      <c r="T740" s="28"/>
      <c r="U740" s="7"/>
      <c r="V740" s="28"/>
      <c r="W740" s="28"/>
      <c r="X740" s="2"/>
      <c r="Y740" s="2"/>
      <c r="Z740" s="2"/>
    </row>
    <row r="741" spans="1:26" ht="19.5" customHeight="1">
      <c r="A741" s="28"/>
      <c r="B741" s="28"/>
      <c r="C741" s="28"/>
      <c r="D741" s="29"/>
      <c r="E741" s="29"/>
      <c r="F741" s="28"/>
      <c r="G741" s="28"/>
      <c r="H741" s="28"/>
      <c r="I741" s="28"/>
      <c r="J741" s="28"/>
      <c r="K741" s="28"/>
      <c r="L741" s="28"/>
      <c r="M741" s="28"/>
      <c r="N741" s="28"/>
      <c r="O741" s="28"/>
      <c r="P741" s="28"/>
      <c r="Q741" s="28"/>
      <c r="R741" s="28"/>
      <c r="S741" s="28"/>
      <c r="T741" s="28"/>
      <c r="U741" s="7"/>
      <c r="V741" s="28"/>
      <c r="W741" s="28"/>
      <c r="X741" s="2"/>
      <c r="Y741" s="2"/>
      <c r="Z741" s="2"/>
    </row>
    <row r="742" spans="1:26" ht="19.5" customHeight="1">
      <c r="A742" s="28"/>
      <c r="B742" s="28"/>
      <c r="C742" s="28"/>
      <c r="D742" s="29"/>
      <c r="E742" s="29"/>
      <c r="F742" s="28"/>
      <c r="G742" s="28"/>
      <c r="H742" s="28"/>
      <c r="I742" s="28"/>
      <c r="J742" s="28"/>
      <c r="K742" s="28"/>
      <c r="L742" s="28"/>
      <c r="M742" s="28"/>
      <c r="N742" s="28"/>
      <c r="O742" s="28"/>
      <c r="P742" s="28"/>
      <c r="Q742" s="28"/>
      <c r="R742" s="28"/>
      <c r="S742" s="28"/>
      <c r="T742" s="28"/>
      <c r="U742" s="7"/>
      <c r="V742" s="28"/>
      <c r="W742" s="28"/>
      <c r="X742" s="2"/>
      <c r="Y742" s="2"/>
      <c r="Z742" s="2"/>
    </row>
    <row r="743" spans="1:26" ht="19.5" customHeight="1">
      <c r="A743" s="28"/>
      <c r="B743" s="28"/>
      <c r="C743" s="28"/>
      <c r="D743" s="29"/>
      <c r="E743" s="29"/>
      <c r="F743" s="28"/>
      <c r="G743" s="28"/>
      <c r="H743" s="28"/>
      <c r="I743" s="28"/>
      <c r="J743" s="28"/>
      <c r="K743" s="28"/>
      <c r="L743" s="28"/>
      <c r="M743" s="28"/>
      <c r="N743" s="28"/>
      <c r="O743" s="28"/>
      <c r="P743" s="28"/>
      <c r="Q743" s="28"/>
      <c r="R743" s="28"/>
      <c r="S743" s="28"/>
      <c r="T743" s="28"/>
      <c r="U743" s="7"/>
      <c r="V743" s="28"/>
      <c r="W743" s="28"/>
      <c r="X743" s="2"/>
      <c r="Y743" s="2"/>
      <c r="Z743" s="2"/>
    </row>
    <row r="744" spans="1:26" ht="19.5" customHeight="1">
      <c r="A744" s="28"/>
      <c r="B744" s="28"/>
      <c r="C744" s="28"/>
      <c r="D744" s="29"/>
      <c r="E744" s="29"/>
      <c r="F744" s="28"/>
      <c r="G744" s="28"/>
      <c r="H744" s="28"/>
      <c r="I744" s="28"/>
      <c r="J744" s="28"/>
      <c r="K744" s="28"/>
      <c r="L744" s="28"/>
      <c r="M744" s="28"/>
      <c r="N744" s="28"/>
      <c r="O744" s="28"/>
      <c r="P744" s="28"/>
      <c r="Q744" s="28"/>
      <c r="R744" s="28"/>
      <c r="S744" s="28"/>
      <c r="T744" s="28"/>
      <c r="U744" s="7"/>
      <c r="V744" s="28"/>
      <c r="W744" s="28"/>
      <c r="X744" s="2"/>
      <c r="Y744" s="2"/>
      <c r="Z744" s="2"/>
    </row>
    <row r="745" spans="1:26" ht="19.5" customHeight="1">
      <c r="A745" s="28"/>
      <c r="B745" s="28"/>
      <c r="C745" s="28"/>
      <c r="D745" s="29"/>
      <c r="E745" s="29"/>
      <c r="F745" s="28"/>
      <c r="G745" s="28"/>
      <c r="H745" s="28"/>
      <c r="I745" s="28"/>
      <c r="J745" s="28"/>
      <c r="K745" s="28"/>
      <c r="L745" s="28"/>
      <c r="M745" s="28"/>
      <c r="N745" s="28"/>
      <c r="O745" s="28"/>
      <c r="P745" s="28"/>
      <c r="Q745" s="28"/>
      <c r="R745" s="28"/>
      <c r="S745" s="28"/>
      <c r="T745" s="28"/>
      <c r="U745" s="7"/>
      <c r="V745" s="28"/>
      <c r="W745" s="28"/>
      <c r="X745" s="2"/>
      <c r="Y745" s="2"/>
      <c r="Z745" s="2"/>
    </row>
    <row r="746" spans="1:26" ht="19.5" customHeight="1">
      <c r="A746" s="28"/>
      <c r="B746" s="28"/>
      <c r="C746" s="28"/>
      <c r="D746" s="29"/>
      <c r="E746" s="29"/>
      <c r="F746" s="28"/>
      <c r="G746" s="28"/>
      <c r="H746" s="28"/>
      <c r="I746" s="28"/>
      <c r="J746" s="28"/>
      <c r="K746" s="28"/>
      <c r="L746" s="28"/>
      <c r="M746" s="28"/>
      <c r="N746" s="28"/>
      <c r="O746" s="28"/>
      <c r="P746" s="28"/>
      <c r="Q746" s="28"/>
      <c r="R746" s="28"/>
      <c r="S746" s="28"/>
      <c r="T746" s="28"/>
      <c r="U746" s="7"/>
      <c r="V746" s="28"/>
      <c r="W746" s="28"/>
      <c r="X746" s="2"/>
      <c r="Y746" s="2"/>
      <c r="Z746" s="2"/>
    </row>
    <row r="747" spans="1:26" ht="19.5" customHeight="1">
      <c r="A747" s="28"/>
      <c r="B747" s="28"/>
      <c r="C747" s="28"/>
      <c r="D747" s="29"/>
      <c r="E747" s="29"/>
      <c r="F747" s="28"/>
      <c r="G747" s="28"/>
      <c r="H747" s="28"/>
      <c r="I747" s="28"/>
      <c r="J747" s="28"/>
      <c r="K747" s="28"/>
      <c r="L747" s="28"/>
      <c r="M747" s="28"/>
      <c r="N747" s="28"/>
      <c r="O747" s="28"/>
      <c r="P747" s="28"/>
      <c r="Q747" s="28"/>
      <c r="R747" s="28"/>
      <c r="S747" s="28"/>
      <c r="T747" s="28"/>
      <c r="U747" s="7"/>
      <c r="V747" s="28"/>
      <c r="W747" s="28"/>
      <c r="X747" s="2"/>
      <c r="Y747" s="2"/>
      <c r="Z747" s="2"/>
    </row>
    <row r="748" spans="1:26" ht="19.5" customHeight="1">
      <c r="A748" s="28"/>
      <c r="B748" s="28"/>
      <c r="C748" s="28"/>
      <c r="D748" s="29"/>
      <c r="E748" s="29"/>
      <c r="F748" s="28"/>
      <c r="G748" s="28"/>
      <c r="H748" s="28"/>
      <c r="I748" s="28"/>
      <c r="J748" s="28"/>
      <c r="K748" s="28"/>
      <c r="L748" s="28"/>
      <c r="M748" s="28"/>
      <c r="N748" s="28"/>
      <c r="O748" s="28"/>
      <c r="P748" s="28"/>
      <c r="Q748" s="28"/>
      <c r="R748" s="28"/>
      <c r="S748" s="28"/>
      <c r="T748" s="28"/>
      <c r="U748" s="7"/>
      <c r="V748" s="28"/>
      <c r="W748" s="28"/>
      <c r="X748" s="2"/>
      <c r="Y748" s="2"/>
      <c r="Z748" s="2"/>
    </row>
    <row r="749" spans="1:26" ht="19.5" customHeight="1">
      <c r="A749" s="28"/>
      <c r="B749" s="28"/>
      <c r="C749" s="28"/>
      <c r="D749" s="29"/>
      <c r="E749" s="29"/>
      <c r="F749" s="28"/>
      <c r="G749" s="28"/>
      <c r="H749" s="28"/>
      <c r="I749" s="28"/>
      <c r="J749" s="28"/>
      <c r="K749" s="28"/>
      <c r="L749" s="28"/>
      <c r="M749" s="28"/>
      <c r="N749" s="28"/>
      <c r="O749" s="28"/>
      <c r="P749" s="28"/>
      <c r="Q749" s="28"/>
      <c r="R749" s="28"/>
      <c r="S749" s="28"/>
      <c r="T749" s="28"/>
      <c r="U749" s="7"/>
      <c r="V749" s="28"/>
      <c r="W749" s="28"/>
      <c r="X749" s="2"/>
      <c r="Y749" s="2"/>
      <c r="Z749" s="2"/>
    </row>
    <row r="750" spans="1:26" ht="19.5" customHeight="1">
      <c r="A750" s="28"/>
      <c r="B750" s="28"/>
      <c r="C750" s="28"/>
      <c r="D750" s="29"/>
      <c r="E750" s="29"/>
      <c r="F750" s="28"/>
      <c r="G750" s="28"/>
      <c r="H750" s="28"/>
      <c r="I750" s="28"/>
      <c r="J750" s="28"/>
      <c r="K750" s="28"/>
      <c r="L750" s="28"/>
      <c r="M750" s="28"/>
      <c r="N750" s="28"/>
      <c r="O750" s="28"/>
      <c r="P750" s="28"/>
      <c r="Q750" s="28"/>
      <c r="R750" s="28"/>
      <c r="S750" s="28"/>
      <c r="T750" s="28"/>
      <c r="U750" s="7"/>
      <c r="V750" s="28"/>
      <c r="W750" s="28"/>
      <c r="X750" s="2"/>
      <c r="Y750" s="2"/>
      <c r="Z750" s="2"/>
    </row>
    <row r="751" spans="1:26" ht="19.5" customHeight="1">
      <c r="A751" s="28"/>
      <c r="B751" s="28"/>
      <c r="C751" s="28"/>
      <c r="D751" s="29"/>
      <c r="E751" s="29"/>
      <c r="F751" s="28"/>
      <c r="G751" s="28"/>
      <c r="H751" s="28"/>
      <c r="I751" s="28"/>
      <c r="J751" s="28"/>
      <c r="K751" s="28"/>
      <c r="L751" s="28"/>
      <c r="M751" s="28"/>
      <c r="N751" s="28"/>
      <c r="O751" s="28"/>
      <c r="P751" s="28"/>
      <c r="Q751" s="28"/>
      <c r="R751" s="28"/>
      <c r="S751" s="28"/>
      <c r="T751" s="28"/>
      <c r="U751" s="7"/>
      <c r="V751" s="28"/>
      <c r="W751" s="28"/>
      <c r="X751" s="2"/>
      <c r="Y751" s="2"/>
      <c r="Z751" s="2"/>
    </row>
    <row r="752" spans="1:26" ht="19.5" customHeight="1">
      <c r="A752" s="28"/>
      <c r="B752" s="28"/>
      <c r="C752" s="28"/>
      <c r="D752" s="29"/>
      <c r="E752" s="29"/>
      <c r="F752" s="28"/>
      <c r="G752" s="28"/>
      <c r="H752" s="28"/>
      <c r="I752" s="28"/>
      <c r="J752" s="28"/>
      <c r="K752" s="28"/>
      <c r="L752" s="28"/>
      <c r="M752" s="28"/>
      <c r="N752" s="28"/>
      <c r="O752" s="28"/>
      <c r="P752" s="28"/>
      <c r="Q752" s="28"/>
      <c r="R752" s="28"/>
      <c r="S752" s="28"/>
      <c r="T752" s="28"/>
      <c r="U752" s="7"/>
      <c r="V752" s="28"/>
      <c r="W752" s="28"/>
      <c r="X752" s="2"/>
      <c r="Y752" s="2"/>
      <c r="Z752" s="2"/>
    </row>
    <row r="753" spans="1:26" ht="19.5" customHeight="1">
      <c r="A753" s="28"/>
      <c r="B753" s="28"/>
      <c r="C753" s="28"/>
      <c r="D753" s="29"/>
      <c r="E753" s="29"/>
      <c r="F753" s="28"/>
      <c r="G753" s="28"/>
      <c r="H753" s="28"/>
      <c r="I753" s="28"/>
      <c r="J753" s="28"/>
      <c r="K753" s="28"/>
      <c r="L753" s="28"/>
      <c r="M753" s="28"/>
      <c r="N753" s="28"/>
      <c r="O753" s="28"/>
      <c r="P753" s="28"/>
      <c r="Q753" s="28"/>
      <c r="R753" s="28"/>
      <c r="S753" s="28"/>
      <c r="T753" s="28"/>
      <c r="U753" s="7"/>
      <c r="V753" s="28"/>
      <c r="W753" s="28"/>
      <c r="X753" s="2"/>
      <c r="Y753" s="2"/>
      <c r="Z753" s="2"/>
    </row>
    <row r="754" spans="1:26" ht="19.5" customHeight="1">
      <c r="A754" s="28"/>
      <c r="B754" s="28"/>
      <c r="C754" s="28"/>
      <c r="D754" s="29"/>
      <c r="E754" s="29"/>
      <c r="F754" s="28"/>
      <c r="G754" s="28"/>
      <c r="H754" s="28"/>
      <c r="I754" s="28"/>
      <c r="J754" s="28"/>
      <c r="K754" s="28"/>
      <c r="L754" s="28"/>
      <c r="M754" s="28"/>
      <c r="N754" s="28"/>
      <c r="O754" s="28"/>
      <c r="P754" s="28"/>
      <c r="Q754" s="28"/>
      <c r="R754" s="28"/>
      <c r="S754" s="28"/>
      <c r="T754" s="28"/>
      <c r="U754" s="7"/>
      <c r="V754" s="28"/>
      <c r="W754" s="28"/>
      <c r="X754" s="2"/>
      <c r="Y754" s="2"/>
      <c r="Z754" s="2"/>
    </row>
    <row r="755" spans="1:26" ht="19.5" customHeight="1">
      <c r="A755" s="28"/>
      <c r="B755" s="28"/>
      <c r="C755" s="28"/>
      <c r="D755" s="29"/>
      <c r="E755" s="29"/>
      <c r="F755" s="28"/>
      <c r="G755" s="28"/>
      <c r="H755" s="28"/>
      <c r="I755" s="28"/>
      <c r="J755" s="28"/>
      <c r="K755" s="28"/>
      <c r="L755" s="28"/>
      <c r="M755" s="28"/>
      <c r="N755" s="28"/>
      <c r="O755" s="28"/>
      <c r="P755" s="28"/>
      <c r="Q755" s="28"/>
      <c r="R755" s="28"/>
      <c r="S755" s="28"/>
      <c r="T755" s="28"/>
      <c r="U755" s="7"/>
      <c r="V755" s="28"/>
      <c r="W755" s="28"/>
      <c r="X755" s="2"/>
      <c r="Y755" s="2"/>
      <c r="Z755" s="2"/>
    </row>
    <row r="756" spans="1:26" ht="19.5" customHeight="1">
      <c r="A756" s="28"/>
      <c r="B756" s="28"/>
      <c r="C756" s="28"/>
      <c r="D756" s="29"/>
      <c r="E756" s="29"/>
      <c r="F756" s="28"/>
      <c r="G756" s="28"/>
      <c r="H756" s="28"/>
      <c r="I756" s="28"/>
      <c r="J756" s="28"/>
      <c r="K756" s="28"/>
      <c r="L756" s="28"/>
      <c r="M756" s="28"/>
      <c r="N756" s="28"/>
      <c r="O756" s="28"/>
      <c r="P756" s="28"/>
      <c r="Q756" s="28"/>
      <c r="R756" s="28"/>
      <c r="S756" s="28"/>
      <c r="T756" s="28"/>
      <c r="U756" s="7"/>
      <c r="V756" s="28"/>
      <c r="W756" s="28"/>
      <c r="X756" s="2"/>
      <c r="Y756" s="2"/>
      <c r="Z756" s="2"/>
    </row>
    <row r="757" spans="1:26" ht="19.5" customHeight="1">
      <c r="A757" s="28"/>
      <c r="B757" s="28"/>
      <c r="C757" s="28"/>
      <c r="D757" s="29"/>
      <c r="E757" s="29"/>
      <c r="F757" s="28"/>
      <c r="G757" s="28"/>
      <c r="H757" s="28"/>
      <c r="I757" s="28"/>
      <c r="J757" s="28"/>
      <c r="K757" s="28"/>
      <c r="L757" s="28"/>
      <c r="M757" s="28"/>
      <c r="N757" s="28"/>
      <c r="O757" s="28"/>
      <c r="P757" s="28"/>
      <c r="Q757" s="28"/>
      <c r="R757" s="28"/>
      <c r="S757" s="28"/>
      <c r="T757" s="28"/>
      <c r="U757" s="7"/>
      <c r="V757" s="28"/>
      <c r="W757" s="28"/>
      <c r="X757" s="2"/>
      <c r="Y757" s="2"/>
      <c r="Z757" s="2"/>
    </row>
    <row r="758" spans="1:26" ht="19.5" customHeight="1">
      <c r="A758" s="28"/>
      <c r="B758" s="28"/>
      <c r="C758" s="28"/>
      <c r="D758" s="29"/>
      <c r="E758" s="29"/>
      <c r="F758" s="28"/>
      <c r="G758" s="28"/>
      <c r="H758" s="28"/>
      <c r="I758" s="28"/>
      <c r="J758" s="28"/>
      <c r="K758" s="28"/>
      <c r="L758" s="28"/>
      <c r="M758" s="28"/>
      <c r="N758" s="28"/>
      <c r="O758" s="28"/>
      <c r="P758" s="28"/>
      <c r="Q758" s="28"/>
      <c r="R758" s="28"/>
      <c r="S758" s="28"/>
      <c r="T758" s="28"/>
      <c r="U758" s="7"/>
      <c r="V758" s="28"/>
      <c r="W758" s="28"/>
      <c r="X758" s="2"/>
      <c r="Y758" s="2"/>
      <c r="Z758" s="2"/>
    </row>
    <row r="759" spans="1:26" ht="19.5" customHeight="1">
      <c r="A759" s="28"/>
      <c r="B759" s="28"/>
      <c r="C759" s="28"/>
      <c r="D759" s="29"/>
      <c r="E759" s="29"/>
      <c r="F759" s="28"/>
      <c r="G759" s="28"/>
      <c r="H759" s="28"/>
      <c r="I759" s="28"/>
      <c r="J759" s="28"/>
      <c r="K759" s="28"/>
      <c r="L759" s="28"/>
      <c r="M759" s="28"/>
      <c r="N759" s="28"/>
      <c r="O759" s="28"/>
      <c r="P759" s="28"/>
      <c r="Q759" s="28"/>
      <c r="R759" s="28"/>
      <c r="S759" s="28"/>
      <c r="T759" s="28"/>
      <c r="U759" s="7"/>
      <c r="V759" s="28"/>
      <c r="W759" s="28"/>
      <c r="X759" s="2"/>
      <c r="Y759" s="2"/>
      <c r="Z759" s="2"/>
    </row>
    <row r="760" spans="1:26" ht="19.5" customHeight="1">
      <c r="A760" s="28"/>
      <c r="B760" s="28"/>
      <c r="C760" s="28"/>
      <c r="D760" s="29"/>
      <c r="E760" s="29"/>
      <c r="F760" s="28"/>
      <c r="G760" s="28"/>
      <c r="H760" s="28"/>
      <c r="I760" s="28"/>
      <c r="J760" s="28"/>
      <c r="K760" s="28"/>
      <c r="L760" s="28"/>
      <c r="M760" s="28"/>
      <c r="N760" s="28"/>
      <c r="O760" s="28"/>
      <c r="P760" s="28"/>
      <c r="Q760" s="28"/>
      <c r="R760" s="28"/>
      <c r="S760" s="28"/>
      <c r="T760" s="28"/>
      <c r="U760" s="7"/>
      <c r="V760" s="28"/>
      <c r="W760" s="28"/>
      <c r="X760" s="2"/>
      <c r="Y760" s="2"/>
      <c r="Z760" s="2"/>
    </row>
    <row r="761" spans="1:26" ht="19.5" customHeight="1">
      <c r="A761" s="28"/>
      <c r="B761" s="28"/>
      <c r="C761" s="28"/>
      <c r="D761" s="29"/>
      <c r="E761" s="29"/>
      <c r="F761" s="28"/>
      <c r="G761" s="28"/>
      <c r="H761" s="28"/>
      <c r="I761" s="28"/>
      <c r="J761" s="28"/>
      <c r="K761" s="28"/>
      <c r="L761" s="28"/>
      <c r="M761" s="28"/>
      <c r="N761" s="28"/>
      <c r="O761" s="28"/>
      <c r="P761" s="28"/>
      <c r="Q761" s="28"/>
      <c r="R761" s="28"/>
      <c r="S761" s="28"/>
      <c r="T761" s="28"/>
      <c r="U761" s="7"/>
      <c r="V761" s="28"/>
      <c r="W761" s="28"/>
      <c r="X761" s="2"/>
      <c r="Y761" s="2"/>
      <c r="Z761" s="2"/>
    </row>
    <row r="762" spans="1:26" ht="19.5" customHeight="1">
      <c r="A762" s="28"/>
      <c r="B762" s="28"/>
      <c r="C762" s="28"/>
      <c r="D762" s="29"/>
      <c r="E762" s="29"/>
      <c r="F762" s="28"/>
      <c r="G762" s="28"/>
      <c r="H762" s="28"/>
      <c r="I762" s="28"/>
      <c r="J762" s="28"/>
      <c r="K762" s="28"/>
      <c r="L762" s="28"/>
      <c r="M762" s="28"/>
      <c r="N762" s="28"/>
      <c r="O762" s="28"/>
      <c r="P762" s="28"/>
      <c r="Q762" s="28"/>
      <c r="R762" s="28"/>
      <c r="S762" s="28"/>
      <c r="T762" s="28"/>
      <c r="U762" s="7"/>
      <c r="V762" s="28"/>
      <c r="W762" s="28"/>
      <c r="X762" s="2"/>
      <c r="Y762" s="2"/>
      <c r="Z762" s="2"/>
    </row>
    <row r="763" spans="1:26" ht="19.5" customHeight="1">
      <c r="A763" s="28"/>
      <c r="B763" s="28"/>
      <c r="C763" s="28"/>
      <c r="D763" s="29"/>
      <c r="E763" s="29"/>
      <c r="F763" s="28"/>
      <c r="G763" s="28"/>
      <c r="H763" s="28"/>
      <c r="I763" s="28"/>
      <c r="J763" s="28"/>
      <c r="K763" s="28"/>
      <c r="L763" s="28"/>
      <c r="M763" s="28"/>
      <c r="N763" s="28"/>
      <c r="O763" s="28"/>
      <c r="P763" s="28"/>
      <c r="Q763" s="28"/>
      <c r="R763" s="28"/>
      <c r="S763" s="28"/>
      <c r="T763" s="28"/>
      <c r="U763" s="7"/>
      <c r="V763" s="28"/>
      <c r="W763" s="28"/>
      <c r="X763" s="2"/>
      <c r="Y763" s="2"/>
      <c r="Z763" s="2"/>
    </row>
    <row r="764" spans="1:26" ht="19.5" customHeight="1">
      <c r="A764" s="28"/>
      <c r="B764" s="28"/>
      <c r="C764" s="28"/>
      <c r="D764" s="29"/>
      <c r="E764" s="29"/>
      <c r="F764" s="28"/>
      <c r="G764" s="28"/>
      <c r="H764" s="28"/>
      <c r="I764" s="28"/>
      <c r="J764" s="28"/>
      <c r="K764" s="28"/>
      <c r="L764" s="28"/>
      <c r="M764" s="28"/>
      <c r="N764" s="28"/>
      <c r="O764" s="28"/>
      <c r="P764" s="28"/>
      <c r="Q764" s="28"/>
      <c r="R764" s="28"/>
      <c r="S764" s="28"/>
      <c r="T764" s="28"/>
      <c r="U764" s="7"/>
      <c r="V764" s="28"/>
      <c r="W764" s="28"/>
      <c r="X764" s="2"/>
      <c r="Y764" s="2"/>
      <c r="Z764" s="2"/>
    </row>
    <row r="765" spans="1:26" ht="19.5" customHeight="1">
      <c r="A765" s="28"/>
      <c r="B765" s="28"/>
      <c r="C765" s="28"/>
      <c r="D765" s="29"/>
      <c r="E765" s="29"/>
      <c r="F765" s="28"/>
      <c r="G765" s="28"/>
      <c r="H765" s="28"/>
      <c r="I765" s="28"/>
      <c r="J765" s="28"/>
      <c r="K765" s="28"/>
      <c r="L765" s="28"/>
      <c r="M765" s="28"/>
      <c r="N765" s="28"/>
      <c r="O765" s="28"/>
      <c r="P765" s="28"/>
      <c r="Q765" s="28"/>
      <c r="R765" s="28"/>
      <c r="S765" s="28"/>
      <c r="T765" s="28"/>
      <c r="U765" s="7"/>
      <c r="V765" s="28"/>
      <c r="W765" s="28"/>
      <c r="X765" s="2"/>
      <c r="Y765" s="2"/>
      <c r="Z765" s="2"/>
    </row>
    <row r="766" spans="1:26" ht="19.5" customHeight="1">
      <c r="A766" s="28"/>
      <c r="B766" s="28"/>
      <c r="C766" s="28"/>
      <c r="D766" s="29"/>
      <c r="E766" s="29"/>
      <c r="F766" s="28"/>
      <c r="G766" s="28"/>
      <c r="H766" s="28"/>
      <c r="I766" s="28"/>
      <c r="J766" s="28"/>
      <c r="K766" s="28"/>
      <c r="L766" s="28"/>
      <c r="M766" s="28"/>
      <c r="N766" s="28"/>
      <c r="O766" s="28"/>
      <c r="P766" s="28"/>
      <c r="Q766" s="28"/>
      <c r="R766" s="28"/>
      <c r="S766" s="28"/>
      <c r="T766" s="28"/>
      <c r="U766" s="7"/>
      <c r="V766" s="28"/>
      <c r="W766" s="28"/>
      <c r="X766" s="2"/>
      <c r="Y766" s="2"/>
      <c r="Z766" s="2"/>
    </row>
    <row r="767" spans="1:26" ht="19.5" customHeight="1">
      <c r="A767" s="28"/>
      <c r="B767" s="28"/>
      <c r="C767" s="28"/>
      <c r="D767" s="29"/>
      <c r="E767" s="29"/>
      <c r="F767" s="28"/>
      <c r="G767" s="28"/>
      <c r="H767" s="28"/>
      <c r="I767" s="28"/>
      <c r="J767" s="28"/>
      <c r="K767" s="28"/>
      <c r="L767" s="28"/>
      <c r="M767" s="28"/>
      <c r="N767" s="28"/>
      <c r="O767" s="28"/>
      <c r="P767" s="28"/>
      <c r="Q767" s="28"/>
      <c r="R767" s="28"/>
      <c r="S767" s="28"/>
      <c r="T767" s="28"/>
      <c r="U767" s="7"/>
      <c r="V767" s="28"/>
      <c r="W767" s="28"/>
      <c r="X767" s="2"/>
      <c r="Y767" s="2"/>
      <c r="Z767" s="2"/>
    </row>
    <row r="768" spans="1:26" ht="19.5" customHeight="1">
      <c r="A768" s="28"/>
      <c r="B768" s="28"/>
      <c r="C768" s="28"/>
      <c r="D768" s="29"/>
      <c r="E768" s="29"/>
      <c r="F768" s="28"/>
      <c r="G768" s="28"/>
      <c r="H768" s="28"/>
      <c r="I768" s="28"/>
      <c r="J768" s="28"/>
      <c r="K768" s="28"/>
      <c r="L768" s="28"/>
      <c r="M768" s="28"/>
      <c r="N768" s="28"/>
      <c r="O768" s="28"/>
      <c r="P768" s="28"/>
      <c r="Q768" s="28"/>
      <c r="R768" s="28"/>
      <c r="S768" s="28"/>
      <c r="T768" s="28"/>
      <c r="U768" s="7"/>
      <c r="V768" s="28"/>
      <c r="W768" s="28"/>
      <c r="X768" s="2"/>
      <c r="Y768" s="2"/>
      <c r="Z768" s="2"/>
    </row>
    <row r="769" spans="1:26" ht="19.5" customHeight="1">
      <c r="A769" s="28"/>
      <c r="B769" s="28"/>
      <c r="C769" s="28"/>
      <c r="D769" s="29"/>
      <c r="E769" s="29"/>
      <c r="F769" s="28"/>
      <c r="G769" s="28"/>
      <c r="H769" s="28"/>
      <c r="I769" s="28"/>
      <c r="J769" s="28"/>
      <c r="K769" s="28"/>
      <c r="L769" s="28"/>
      <c r="M769" s="28"/>
      <c r="N769" s="28"/>
      <c r="O769" s="28"/>
      <c r="P769" s="28"/>
      <c r="Q769" s="28"/>
      <c r="R769" s="28"/>
      <c r="S769" s="28"/>
      <c r="T769" s="28"/>
      <c r="U769" s="7"/>
      <c r="V769" s="28"/>
      <c r="W769" s="28"/>
      <c r="X769" s="2"/>
      <c r="Y769" s="2"/>
      <c r="Z769" s="2"/>
    </row>
    <row r="770" spans="1:26" ht="19.5" customHeight="1">
      <c r="A770" s="28"/>
      <c r="B770" s="28"/>
      <c r="C770" s="28"/>
      <c r="D770" s="29"/>
      <c r="E770" s="29"/>
      <c r="F770" s="28"/>
      <c r="G770" s="28"/>
      <c r="H770" s="28"/>
      <c r="I770" s="28"/>
      <c r="J770" s="28"/>
      <c r="K770" s="28"/>
      <c r="L770" s="28"/>
      <c r="M770" s="28"/>
      <c r="N770" s="28"/>
      <c r="O770" s="28"/>
      <c r="P770" s="28"/>
      <c r="Q770" s="28"/>
      <c r="R770" s="28"/>
      <c r="S770" s="28"/>
      <c r="T770" s="28"/>
      <c r="U770" s="7"/>
      <c r="V770" s="28"/>
      <c r="W770" s="28"/>
      <c r="X770" s="2"/>
      <c r="Y770" s="2"/>
      <c r="Z770" s="2"/>
    </row>
    <row r="771" spans="1:26" ht="19.5" customHeight="1">
      <c r="A771" s="28"/>
      <c r="B771" s="28"/>
      <c r="C771" s="28"/>
      <c r="D771" s="29"/>
      <c r="E771" s="29"/>
      <c r="F771" s="28"/>
      <c r="G771" s="28"/>
      <c r="H771" s="28"/>
      <c r="I771" s="28"/>
      <c r="J771" s="28"/>
      <c r="K771" s="28"/>
      <c r="L771" s="28"/>
      <c r="M771" s="28"/>
      <c r="N771" s="28"/>
      <c r="O771" s="28"/>
      <c r="P771" s="28"/>
      <c r="Q771" s="28"/>
      <c r="R771" s="28"/>
      <c r="S771" s="28"/>
      <c r="T771" s="28"/>
      <c r="U771" s="7"/>
      <c r="V771" s="28"/>
      <c r="W771" s="28"/>
      <c r="X771" s="2"/>
      <c r="Y771" s="2"/>
      <c r="Z771" s="2"/>
    </row>
    <row r="772" spans="1:26" ht="19.5" customHeight="1">
      <c r="A772" s="28"/>
      <c r="B772" s="28"/>
      <c r="C772" s="28"/>
      <c r="D772" s="29"/>
      <c r="E772" s="29"/>
      <c r="F772" s="28"/>
      <c r="G772" s="28"/>
      <c r="H772" s="28"/>
      <c r="I772" s="28"/>
      <c r="J772" s="28"/>
      <c r="K772" s="28"/>
      <c r="L772" s="28"/>
      <c r="M772" s="28"/>
      <c r="N772" s="28"/>
      <c r="O772" s="28"/>
      <c r="P772" s="28"/>
      <c r="Q772" s="28"/>
      <c r="R772" s="28"/>
      <c r="S772" s="28"/>
      <c r="T772" s="28"/>
      <c r="U772" s="7"/>
      <c r="V772" s="28"/>
      <c r="W772" s="28"/>
      <c r="X772" s="2"/>
      <c r="Y772" s="2"/>
      <c r="Z772" s="2"/>
    </row>
    <row r="773" spans="1:26" ht="19.5" customHeight="1">
      <c r="A773" s="28"/>
      <c r="B773" s="28"/>
      <c r="C773" s="28"/>
      <c r="D773" s="29"/>
      <c r="E773" s="29"/>
      <c r="F773" s="28"/>
      <c r="G773" s="28"/>
      <c r="H773" s="28"/>
      <c r="I773" s="28"/>
      <c r="J773" s="28"/>
      <c r="K773" s="28"/>
      <c r="L773" s="28"/>
      <c r="M773" s="28"/>
      <c r="N773" s="28"/>
      <c r="O773" s="28"/>
      <c r="P773" s="28"/>
      <c r="Q773" s="28"/>
      <c r="R773" s="28"/>
      <c r="S773" s="28"/>
      <c r="T773" s="28"/>
      <c r="U773" s="7"/>
      <c r="V773" s="28"/>
      <c r="W773" s="28"/>
      <c r="X773" s="2"/>
      <c r="Y773" s="2"/>
      <c r="Z773" s="2"/>
    </row>
    <row r="774" spans="1:26" ht="19.5" customHeight="1">
      <c r="A774" s="28"/>
      <c r="B774" s="28"/>
      <c r="C774" s="28"/>
      <c r="D774" s="29"/>
      <c r="E774" s="29"/>
      <c r="F774" s="28"/>
      <c r="G774" s="28"/>
      <c r="H774" s="28"/>
      <c r="I774" s="28"/>
      <c r="J774" s="28"/>
      <c r="K774" s="28"/>
      <c r="L774" s="28"/>
      <c r="M774" s="28"/>
      <c r="N774" s="28"/>
      <c r="O774" s="28"/>
      <c r="P774" s="28"/>
      <c r="Q774" s="28"/>
      <c r="R774" s="28"/>
      <c r="S774" s="28"/>
      <c r="T774" s="28"/>
      <c r="U774" s="7"/>
      <c r="V774" s="28"/>
      <c r="W774" s="28"/>
      <c r="X774" s="2"/>
      <c r="Y774" s="2"/>
      <c r="Z774" s="2"/>
    </row>
    <row r="775" spans="1:26" ht="19.5" customHeight="1">
      <c r="A775" s="28"/>
      <c r="B775" s="28"/>
      <c r="C775" s="28"/>
      <c r="D775" s="29"/>
      <c r="E775" s="29"/>
      <c r="F775" s="28"/>
      <c r="G775" s="28"/>
      <c r="H775" s="28"/>
      <c r="I775" s="28"/>
      <c r="J775" s="28"/>
      <c r="K775" s="28"/>
      <c r="L775" s="28"/>
      <c r="M775" s="28"/>
      <c r="N775" s="28"/>
      <c r="O775" s="28"/>
      <c r="P775" s="28"/>
      <c r="Q775" s="28"/>
      <c r="R775" s="28"/>
      <c r="S775" s="28"/>
      <c r="T775" s="28"/>
      <c r="U775" s="7"/>
      <c r="V775" s="28"/>
      <c r="W775" s="28"/>
      <c r="X775" s="2"/>
      <c r="Y775" s="2"/>
      <c r="Z775" s="2"/>
    </row>
    <row r="776" spans="1:26" ht="19.5" customHeight="1">
      <c r="A776" s="28"/>
      <c r="B776" s="28"/>
      <c r="C776" s="28"/>
      <c r="D776" s="29"/>
      <c r="E776" s="29"/>
      <c r="F776" s="28"/>
      <c r="G776" s="28"/>
      <c r="H776" s="28"/>
      <c r="I776" s="28"/>
      <c r="J776" s="28"/>
      <c r="K776" s="28"/>
      <c r="L776" s="28"/>
      <c r="M776" s="28"/>
      <c r="N776" s="28"/>
      <c r="O776" s="28"/>
      <c r="P776" s="28"/>
      <c r="Q776" s="28"/>
      <c r="R776" s="28"/>
      <c r="S776" s="28"/>
      <c r="T776" s="28"/>
      <c r="U776" s="7"/>
      <c r="V776" s="28"/>
      <c r="W776" s="28"/>
      <c r="X776" s="2"/>
      <c r="Y776" s="2"/>
      <c r="Z776" s="2"/>
    </row>
    <row r="777" spans="1:26" ht="19.5" customHeight="1">
      <c r="A777" s="28"/>
      <c r="B777" s="28"/>
      <c r="C777" s="28"/>
      <c r="D777" s="29"/>
      <c r="E777" s="29"/>
      <c r="F777" s="28"/>
      <c r="G777" s="28"/>
      <c r="H777" s="28"/>
      <c r="I777" s="28"/>
      <c r="J777" s="28"/>
      <c r="K777" s="28"/>
      <c r="L777" s="28"/>
      <c r="M777" s="28"/>
      <c r="N777" s="28"/>
      <c r="O777" s="28"/>
      <c r="P777" s="28"/>
      <c r="Q777" s="28"/>
      <c r="R777" s="28"/>
      <c r="S777" s="28"/>
      <c r="T777" s="28"/>
      <c r="U777" s="7"/>
      <c r="V777" s="28"/>
      <c r="W777" s="28"/>
      <c r="X777" s="2"/>
      <c r="Y777" s="2"/>
      <c r="Z777" s="2"/>
    </row>
    <row r="778" spans="1:26" ht="19.5" customHeight="1">
      <c r="A778" s="28"/>
      <c r="B778" s="28"/>
      <c r="C778" s="28"/>
      <c r="D778" s="29"/>
      <c r="E778" s="29"/>
      <c r="F778" s="28"/>
      <c r="G778" s="28"/>
      <c r="H778" s="28"/>
      <c r="I778" s="28"/>
      <c r="J778" s="28"/>
      <c r="K778" s="28"/>
      <c r="L778" s="28"/>
      <c r="M778" s="28"/>
      <c r="N778" s="28"/>
      <c r="O778" s="28"/>
      <c r="P778" s="28"/>
      <c r="Q778" s="28"/>
      <c r="R778" s="28"/>
      <c r="S778" s="28"/>
      <c r="T778" s="28"/>
      <c r="U778" s="7"/>
      <c r="V778" s="28"/>
      <c r="W778" s="28"/>
      <c r="X778" s="2"/>
      <c r="Y778" s="2"/>
      <c r="Z778" s="2"/>
    </row>
    <row r="779" spans="1:26" ht="19.5" customHeight="1">
      <c r="A779" s="28"/>
      <c r="B779" s="28"/>
      <c r="C779" s="28"/>
      <c r="D779" s="29"/>
      <c r="E779" s="29"/>
      <c r="F779" s="28"/>
      <c r="G779" s="28"/>
      <c r="H779" s="28"/>
      <c r="I779" s="28"/>
      <c r="J779" s="28"/>
      <c r="K779" s="28"/>
      <c r="L779" s="28"/>
      <c r="M779" s="28"/>
      <c r="N779" s="28"/>
      <c r="O779" s="28"/>
      <c r="P779" s="28"/>
      <c r="Q779" s="28"/>
      <c r="R779" s="28"/>
      <c r="S779" s="28"/>
      <c r="T779" s="28"/>
      <c r="U779" s="7"/>
      <c r="V779" s="28"/>
      <c r="W779" s="28"/>
      <c r="X779" s="2"/>
      <c r="Y779" s="2"/>
      <c r="Z779" s="2"/>
    </row>
    <row r="780" spans="1:26" ht="19.5" customHeight="1">
      <c r="A780" s="28"/>
      <c r="B780" s="28"/>
      <c r="C780" s="28"/>
      <c r="D780" s="29"/>
      <c r="E780" s="29"/>
      <c r="F780" s="28"/>
      <c r="G780" s="28"/>
      <c r="H780" s="28"/>
      <c r="I780" s="28"/>
      <c r="J780" s="28"/>
      <c r="K780" s="28"/>
      <c r="L780" s="28"/>
      <c r="M780" s="28"/>
      <c r="N780" s="28"/>
      <c r="O780" s="28"/>
      <c r="P780" s="28"/>
      <c r="Q780" s="28"/>
      <c r="R780" s="28"/>
      <c r="S780" s="28"/>
      <c r="T780" s="28"/>
      <c r="U780" s="7"/>
      <c r="V780" s="28"/>
      <c r="W780" s="28"/>
      <c r="X780" s="2"/>
      <c r="Y780" s="2"/>
      <c r="Z780" s="2"/>
    </row>
    <row r="781" spans="1:26" ht="19.5" customHeight="1">
      <c r="A781" s="28"/>
      <c r="B781" s="28"/>
      <c r="C781" s="28"/>
      <c r="D781" s="29"/>
      <c r="E781" s="29"/>
      <c r="F781" s="28"/>
      <c r="G781" s="28"/>
      <c r="H781" s="28"/>
      <c r="I781" s="28"/>
      <c r="J781" s="28"/>
      <c r="K781" s="28"/>
      <c r="L781" s="28"/>
      <c r="M781" s="28"/>
      <c r="N781" s="28"/>
      <c r="O781" s="28"/>
      <c r="P781" s="28"/>
      <c r="Q781" s="28"/>
      <c r="R781" s="28"/>
      <c r="S781" s="28"/>
      <c r="T781" s="28"/>
      <c r="U781" s="7"/>
      <c r="V781" s="28"/>
      <c r="W781" s="28"/>
      <c r="X781" s="2"/>
      <c r="Y781" s="2"/>
      <c r="Z781" s="2"/>
    </row>
    <row r="782" spans="1:26" ht="19.5" customHeight="1">
      <c r="A782" s="28"/>
      <c r="B782" s="28"/>
      <c r="C782" s="28"/>
      <c r="D782" s="29"/>
      <c r="E782" s="29"/>
      <c r="F782" s="28"/>
      <c r="G782" s="28"/>
      <c r="H782" s="28"/>
      <c r="I782" s="28"/>
      <c r="J782" s="28"/>
      <c r="K782" s="28"/>
      <c r="L782" s="28"/>
      <c r="M782" s="28"/>
      <c r="N782" s="28"/>
      <c r="O782" s="28"/>
      <c r="P782" s="28"/>
      <c r="Q782" s="28"/>
      <c r="R782" s="28"/>
      <c r="S782" s="28"/>
      <c r="T782" s="28"/>
      <c r="U782" s="7"/>
      <c r="V782" s="28"/>
      <c r="W782" s="28"/>
      <c r="X782" s="2"/>
      <c r="Y782" s="2"/>
      <c r="Z782" s="2"/>
    </row>
    <row r="783" spans="1:26" ht="19.5" customHeight="1">
      <c r="A783" s="28"/>
      <c r="B783" s="28"/>
      <c r="C783" s="28"/>
      <c r="D783" s="29"/>
      <c r="E783" s="29"/>
      <c r="F783" s="28"/>
      <c r="G783" s="28"/>
      <c r="H783" s="28"/>
      <c r="I783" s="28"/>
      <c r="J783" s="28"/>
      <c r="K783" s="28"/>
      <c r="L783" s="28"/>
      <c r="M783" s="28"/>
      <c r="N783" s="28"/>
      <c r="O783" s="28"/>
      <c r="P783" s="28"/>
      <c r="Q783" s="28"/>
      <c r="R783" s="28"/>
      <c r="S783" s="28"/>
      <c r="T783" s="28"/>
      <c r="U783" s="7"/>
      <c r="V783" s="28"/>
      <c r="W783" s="28"/>
      <c r="X783" s="2"/>
      <c r="Y783" s="2"/>
      <c r="Z783" s="2"/>
    </row>
    <row r="784" spans="1:26" ht="19.5" customHeight="1">
      <c r="A784" s="28"/>
      <c r="B784" s="28"/>
      <c r="C784" s="28"/>
      <c r="D784" s="29"/>
      <c r="E784" s="29"/>
      <c r="F784" s="28"/>
      <c r="G784" s="28"/>
      <c r="H784" s="28"/>
      <c r="I784" s="28"/>
      <c r="J784" s="28"/>
      <c r="K784" s="28"/>
      <c r="L784" s="28"/>
      <c r="M784" s="28"/>
      <c r="N784" s="28"/>
      <c r="O784" s="28"/>
      <c r="P784" s="28"/>
      <c r="Q784" s="28"/>
      <c r="R784" s="28"/>
      <c r="S784" s="28"/>
      <c r="T784" s="28"/>
      <c r="U784" s="7"/>
      <c r="V784" s="28"/>
      <c r="W784" s="28"/>
      <c r="X784" s="2"/>
      <c r="Y784" s="2"/>
      <c r="Z784" s="2"/>
    </row>
    <row r="785" spans="1:26" ht="19.5" customHeight="1">
      <c r="A785" s="28"/>
      <c r="B785" s="28"/>
      <c r="C785" s="28"/>
      <c r="D785" s="29"/>
      <c r="E785" s="29"/>
      <c r="F785" s="28"/>
      <c r="G785" s="28"/>
      <c r="H785" s="28"/>
      <c r="I785" s="28"/>
      <c r="J785" s="28"/>
      <c r="K785" s="28"/>
      <c r="L785" s="28"/>
      <c r="M785" s="28"/>
      <c r="N785" s="28"/>
      <c r="O785" s="28"/>
      <c r="P785" s="28"/>
      <c r="Q785" s="28"/>
      <c r="R785" s="28"/>
      <c r="S785" s="28"/>
      <c r="T785" s="28"/>
      <c r="U785" s="7"/>
      <c r="V785" s="28"/>
      <c r="W785" s="28"/>
      <c r="X785" s="2"/>
      <c r="Y785" s="2"/>
      <c r="Z785" s="2"/>
    </row>
    <row r="786" spans="1:26" ht="19.5" customHeight="1">
      <c r="A786" s="28"/>
      <c r="B786" s="28"/>
      <c r="C786" s="28"/>
      <c r="D786" s="29"/>
      <c r="E786" s="29"/>
      <c r="F786" s="28"/>
      <c r="G786" s="28"/>
      <c r="H786" s="28"/>
      <c r="I786" s="28"/>
      <c r="J786" s="28"/>
      <c r="K786" s="28"/>
      <c r="L786" s="28"/>
      <c r="M786" s="28"/>
      <c r="N786" s="28"/>
      <c r="O786" s="28"/>
      <c r="P786" s="28"/>
      <c r="Q786" s="28"/>
      <c r="R786" s="28"/>
      <c r="S786" s="28"/>
      <c r="T786" s="28"/>
      <c r="U786" s="7"/>
      <c r="V786" s="28"/>
      <c r="W786" s="28"/>
      <c r="X786" s="2"/>
      <c r="Y786" s="2"/>
      <c r="Z786" s="2"/>
    </row>
    <row r="787" spans="1:26" ht="19.5" customHeight="1">
      <c r="A787" s="28"/>
      <c r="B787" s="28"/>
      <c r="C787" s="28"/>
      <c r="D787" s="29"/>
      <c r="E787" s="29"/>
      <c r="F787" s="28"/>
      <c r="G787" s="28"/>
      <c r="H787" s="28"/>
      <c r="I787" s="28"/>
      <c r="J787" s="28"/>
      <c r="K787" s="28"/>
      <c r="L787" s="28"/>
      <c r="M787" s="28"/>
      <c r="N787" s="28"/>
      <c r="O787" s="28"/>
      <c r="P787" s="28"/>
      <c r="Q787" s="28"/>
      <c r="R787" s="28"/>
      <c r="S787" s="28"/>
      <c r="T787" s="28"/>
      <c r="U787" s="7"/>
      <c r="V787" s="28"/>
      <c r="W787" s="28"/>
      <c r="X787" s="2"/>
      <c r="Y787" s="2"/>
      <c r="Z787" s="2"/>
    </row>
    <row r="788" spans="1:26" ht="19.5" customHeight="1">
      <c r="A788" s="28"/>
      <c r="B788" s="28"/>
      <c r="C788" s="28"/>
      <c r="D788" s="29"/>
      <c r="E788" s="29"/>
      <c r="F788" s="28"/>
      <c r="G788" s="28"/>
      <c r="H788" s="28"/>
      <c r="I788" s="28"/>
      <c r="J788" s="28"/>
      <c r="K788" s="28"/>
      <c r="L788" s="28"/>
      <c r="M788" s="28"/>
      <c r="N788" s="28"/>
      <c r="O788" s="28"/>
      <c r="P788" s="28"/>
      <c r="Q788" s="28"/>
      <c r="R788" s="28"/>
      <c r="S788" s="28"/>
      <c r="T788" s="28"/>
      <c r="U788" s="7"/>
      <c r="V788" s="28"/>
      <c r="W788" s="28"/>
      <c r="X788" s="2"/>
      <c r="Y788" s="2"/>
      <c r="Z788" s="2"/>
    </row>
    <row r="789" spans="1:26" ht="19.5" customHeight="1">
      <c r="A789" s="28"/>
      <c r="B789" s="28"/>
      <c r="C789" s="28"/>
      <c r="D789" s="29"/>
      <c r="E789" s="29"/>
      <c r="F789" s="28"/>
      <c r="G789" s="28"/>
      <c r="H789" s="28"/>
      <c r="I789" s="28"/>
      <c r="J789" s="28"/>
      <c r="K789" s="28"/>
      <c r="L789" s="28"/>
      <c r="M789" s="28"/>
      <c r="N789" s="28"/>
      <c r="O789" s="28"/>
      <c r="P789" s="28"/>
      <c r="Q789" s="28"/>
      <c r="R789" s="28"/>
      <c r="S789" s="28"/>
      <c r="T789" s="28"/>
      <c r="U789" s="7"/>
      <c r="V789" s="28"/>
      <c r="W789" s="28"/>
      <c r="X789" s="2"/>
      <c r="Y789" s="2"/>
      <c r="Z789" s="2"/>
    </row>
    <row r="790" spans="1:26" ht="19.5" customHeight="1">
      <c r="A790" s="28"/>
      <c r="B790" s="28"/>
      <c r="C790" s="28"/>
      <c r="D790" s="29"/>
      <c r="E790" s="29"/>
      <c r="F790" s="28"/>
      <c r="G790" s="28"/>
      <c r="H790" s="28"/>
      <c r="I790" s="28"/>
      <c r="J790" s="28"/>
      <c r="K790" s="28"/>
      <c r="L790" s="28"/>
      <c r="M790" s="28"/>
      <c r="N790" s="28"/>
      <c r="O790" s="28"/>
      <c r="P790" s="28"/>
      <c r="Q790" s="28"/>
      <c r="R790" s="28"/>
      <c r="S790" s="28"/>
      <c r="T790" s="28"/>
      <c r="U790" s="7"/>
      <c r="V790" s="28"/>
      <c r="W790" s="28"/>
      <c r="X790" s="2"/>
      <c r="Y790" s="2"/>
      <c r="Z790" s="2"/>
    </row>
    <row r="791" spans="1:26" ht="19.5" customHeight="1">
      <c r="A791" s="28"/>
      <c r="B791" s="28"/>
      <c r="C791" s="28"/>
      <c r="D791" s="29"/>
      <c r="E791" s="29"/>
      <c r="F791" s="28"/>
      <c r="G791" s="28"/>
      <c r="H791" s="28"/>
      <c r="I791" s="28"/>
      <c r="J791" s="28"/>
      <c r="K791" s="28"/>
      <c r="L791" s="28"/>
      <c r="M791" s="28"/>
      <c r="N791" s="28"/>
      <c r="O791" s="28"/>
      <c r="P791" s="28"/>
      <c r="Q791" s="28"/>
      <c r="R791" s="28"/>
      <c r="S791" s="28"/>
      <c r="T791" s="28"/>
      <c r="U791" s="7"/>
      <c r="V791" s="28"/>
      <c r="W791" s="28"/>
      <c r="X791" s="2"/>
      <c r="Y791" s="2"/>
      <c r="Z791" s="2"/>
    </row>
    <row r="792" spans="1:26" ht="19.5" customHeight="1">
      <c r="A792" s="28"/>
      <c r="B792" s="28"/>
      <c r="C792" s="28"/>
      <c r="D792" s="29"/>
      <c r="E792" s="29"/>
      <c r="F792" s="28"/>
      <c r="G792" s="28"/>
      <c r="H792" s="28"/>
      <c r="I792" s="28"/>
      <c r="J792" s="28"/>
      <c r="K792" s="28"/>
      <c r="L792" s="28"/>
      <c r="M792" s="28"/>
      <c r="N792" s="28"/>
      <c r="O792" s="28"/>
      <c r="P792" s="28"/>
      <c r="Q792" s="28"/>
      <c r="R792" s="28"/>
      <c r="S792" s="28"/>
      <c r="T792" s="28"/>
      <c r="U792" s="7"/>
      <c r="V792" s="28"/>
      <c r="W792" s="28"/>
      <c r="X792" s="2"/>
      <c r="Y792" s="2"/>
      <c r="Z792" s="2"/>
    </row>
    <row r="793" spans="1:26" ht="19.5" customHeight="1">
      <c r="A793" s="28"/>
      <c r="B793" s="28"/>
      <c r="C793" s="28"/>
      <c r="D793" s="29"/>
      <c r="E793" s="29"/>
      <c r="F793" s="28"/>
      <c r="G793" s="28"/>
      <c r="H793" s="28"/>
      <c r="I793" s="28"/>
      <c r="J793" s="28"/>
      <c r="K793" s="28"/>
      <c r="L793" s="28"/>
      <c r="M793" s="28"/>
      <c r="N793" s="28"/>
      <c r="O793" s="28"/>
      <c r="P793" s="28"/>
      <c r="Q793" s="28"/>
      <c r="R793" s="28"/>
      <c r="S793" s="28"/>
      <c r="T793" s="28"/>
      <c r="U793" s="7"/>
      <c r="V793" s="28"/>
      <c r="W793" s="28"/>
      <c r="X793" s="2"/>
      <c r="Y793" s="2"/>
      <c r="Z793" s="2"/>
    </row>
    <row r="794" spans="1:26" ht="19.5" customHeight="1">
      <c r="A794" s="28"/>
      <c r="B794" s="28"/>
      <c r="C794" s="28"/>
      <c r="D794" s="29"/>
      <c r="E794" s="29"/>
      <c r="F794" s="28"/>
      <c r="G794" s="28"/>
      <c r="H794" s="28"/>
      <c r="I794" s="28"/>
      <c r="J794" s="28"/>
      <c r="K794" s="28"/>
      <c r="L794" s="28"/>
      <c r="M794" s="28"/>
      <c r="N794" s="28"/>
      <c r="O794" s="28"/>
      <c r="P794" s="28"/>
      <c r="Q794" s="28"/>
      <c r="R794" s="28"/>
      <c r="S794" s="28"/>
      <c r="T794" s="28"/>
      <c r="U794" s="7"/>
      <c r="V794" s="28"/>
      <c r="W794" s="28"/>
      <c r="X794" s="2"/>
      <c r="Y794" s="2"/>
      <c r="Z794" s="2"/>
    </row>
    <row r="795" spans="1:26" ht="19.5" customHeight="1">
      <c r="A795" s="28"/>
      <c r="B795" s="28"/>
      <c r="C795" s="28"/>
      <c r="D795" s="29"/>
      <c r="E795" s="29"/>
      <c r="F795" s="28"/>
      <c r="G795" s="28"/>
      <c r="H795" s="28"/>
      <c r="I795" s="28"/>
      <c r="J795" s="28"/>
      <c r="K795" s="28"/>
      <c r="L795" s="28"/>
      <c r="M795" s="28"/>
      <c r="N795" s="28"/>
      <c r="O795" s="28"/>
      <c r="P795" s="28"/>
      <c r="Q795" s="28"/>
      <c r="R795" s="28"/>
      <c r="S795" s="28"/>
      <c r="T795" s="28"/>
      <c r="U795" s="7"/>
      <c r="V795" s="28"/>
      <c r="W795" s="28"/>
      <c r="X795" s="2"/>
      <c r="Y795" s="2"/>
      <c r="Z795" s="2"/>
    </row>
    <row r="796" spans="1:26" ht="19.5" customHeight="1">
      <c r="A796" s="28"/>
      <c r="B796" s="28"/>
      <c r="C796" s="28"/>
      <c r="D796" s="29"/>
      <c r="E796" s="29"/>
      <c r="F796" s="28"/>
      <c r="G796" s="28"/>
      <c r="H796" s="28"/>
      <c r="I796" s="28"/>
      <c r="J796" s="28"/>
      <c r="K796" s="28"/>
      <c r="L796" s="28"/>
      <c r="M796" s="28"/>
      <c r="N796" s="28"/>
      <c r="O796" s="28"/>
      <c r="P796" s="28"/>
      <c r="Q796" s="28"/>
      <c r="R796" s="28"/>
      <c r="S796" s="28"/>
      <c r="T796" s="28"/>
      <c r="U796" s="7"/>
      <c r="V796" s="28"/>
      <c r="W796" s="28"/>
      <c r="X796" s="2"/>
      <c r="Y796" s="2"/>
      <c r="Z796" s="2"/>
    </row>
    <row r="797" spans="1:26" ht="19.5" customHeight="1">
      <c r="A797" s="28"/>
      <c r="B797" s="28"/>
      <c r="C797" s="28"/>
      <c r="D797" s="29"/>
      <c r="E797" s="29"/>
      <c r="F797" s="28"/>
      <c r="G797" s="28"/>
      <c r="H797" s="28"/>
      <c r="I797" s="28"/>
      <c r="J797" s="28"/>
      <c r="K797" s="28"/>
      <c r="L797" s="28"/>
      <c r="M797" s="28"/>
      <c r="N797" s="28"/>
      <c r="O797" s="28"/>
      <c r="P797" s="28"/>
      <c r="Q797" s="28"/>
      <c r="R797" s="28"/>
      <c r="S797" s="28"/>
      <c r="T797" s="28"/>
      <c r="U797" s="7"/>
      <c r="V797" s="28"/>
      <c r="W797" s="28"/>
      <c r="X797" s="2"/>
      <c r="Y797" s="2"/>
      <c r="Z797" s="2"/>
    </row>
    <row r="798" spans="1:26" ht="19.5" customHeight="1">
      <c r="A798" s="28"/>
      <c r="B798" s="28"/>
      <c r="C798" s="28"/>
      <c r="D798" s="29"/>
      <c r="E798" s="29"/>
      <c r="F798" s="28"/>
      <c r="G798" s="28"/>
      <c r="H798" s="28"/>
      <c r="I798" s="28"/>
      <c r="J798" s="28"/>
      <c r="K798" s="28"/>
      <c r="L798" s="28"/>
      <c r="M798" s="28"/>
      <c r="N798" s="28"/>
      <c r="O798" s="28"/>
      <c r="P798" s="28"/>
      <c r="Q798" s="28"/>
      <c r="R798" s="28"/>
      <c r="S798" s="28"/>
      <c r="T798" s="28"/>
      <c r="U798" s="7"/>
      <c r="V798" s="28"/>
      <c r="W798" s="28"/>
      <c r="X798" s="2"/>
      <c r="Y798" s="2"/>
      <c r="Z798" s="2"/>
    </row>
    <row r="799" spans="1:26" ht="19.5" customHeight="1">
      <c r="A799" s="28"/>
      <c r="B799" s="28"/>
      <c r="C799" s="28"/>
      <c r="D799" s="29"/>
      <c r="E799" s="29"/>
      <c r="F799" s="28"/>
      <c r="G799" s="28"/>
      <c r="H799" s="28"/>
      <c r="I799" s="28"/>
      <c r="J799" s="28"/>
      <c r="K799" s="28"/>
      <c r="L799" s="28"/>
      <c r="M799" s="28"/>
      <c r="N799" s="28"/>
      <c r="O799" s="28"/>
      <c r="P799" s="28"/>
      <c r="Q799" s="28"/>
      <c r="R799" s="28"/>
      <c r="S799" s="28"/>
      <c r="T799" s="28"/>
      <c r="U799" s="7"/>
      <c r="V799" s="28"/>
      <c r="W799" s="28"/>
      <c r="X799" s="2"/>
      <c r="Y799" s="2"/>
      <c r="Z799" s="2"/>
    </row>
    <row r="800" spans="1:26" ht="19.5" customHeight="1">
      <c r="A800" s="28"/>
      <c r="B800" s="28"/>
      <c r="C800" s="28"/>
      <c r="D800" s="29"/>
      <c r="E800" s="29"/>
      <c r="F800" s="28"/>
      <c r="G800" s="28"/>
      <c r="H800" s="28"/>
      <c r="I800" s="28"/>
      <c r="J800" s="28"/>
      <c r="K800" s="28"/>
      <c r="L800" s="28"/>
      <c r="M800" s="28"/>
      <c r="N800" s="28"/>
      <c r="O800" s="28"/>
      <c r="P800" s="28"/>
      <c r="Q800" s="28"/>
      <c r="R800" s="28"/>
      <c r="S800" s="28"/>
      <c r="T800" s="28"/>
      <c r="U800" s="7"/>
      <c r="V800" s="28"/>
      <c r="W800" s="28"/>
      <c r="X800" s="2"/>
      <c r="Y800" s="2"/>
      <c r="Z800" s="2"/>
    </row>
    <row r="801" spans="1:26" ht="19.5" customHeight="1">
      <c r="A801" s="28"/>
      <c r="B801" s="28"/>
      <c r="C801" s="28"/>
      <c r="D801" s="29"/>
      <c r="E801" s="29"/>
      <c r="F801" s="28"/>
      <c r="G801" s="28"/>
      <c r="H801" s="28"/>
      <c r="I801" s="28"/>
      <c r="J801" s="28"/>
      <c r="K801" s="28"/>
      <c r="L801" s="28"/>
      <c r="M801" s="28"/>
      <c r="N801" s="28"/>
      <c r="O801" s="28"/>
      <c r="P801" s="28"/>
      <c r="Q801" s="28"/>
      <c r="R801" s="28"/>
      <c r="S801" s="28"/>
      <c r="T801" s="28"/>
      <c r="U801" s="7"/>
      <c r="V801" s="28"/>
      <c r="W801" s="28"/>
      <c r="X801" s="2"/>
      <c r="Y801" s="2"/>
      <c r="Z801" s="2"/>
    </row>
    <row r="802" spans="1:26" ht="19.5" customHeight="1">
      <c r="A802" s="28"/>
      <c r="B802" s="28"/>
      <c r="C802" s="28"/>
      <c r="D802" s="29"/>
      <c r="E802" s="29"/>
      <c r="F802" s="28"/>
      <c r="G802" s="28"/>
      <c r="H802" s="28"/>
      <c r="I802" s="28"/>
      <c r="J802" s="28"/>
      <c r="K802" s="28"/>
      <c r="L802" s="28"/>
      <c r="M802" s="28"/>
      <c r="N802" s="28"/>
      <c r="O802" s="28"/>
      <c r="P802" s="28"/>
      <c r="Q802" s="28"/>
      <c r="R802" s="28"/>
      <c r="S802" s="28"/>
      <c r="T802" s="28"/>
      <c r="U802" s="7"/>
      <c r="V802" s="28"/>
      <c r="W802" s="28"/>
      <c r="X802" s="2"/>
      <c r="Y802" s="2"/>
      <c r="Z802" s="2"/>
    </row>
    <row r="803" spans="1:26" ht="19.5" customHeight="1">
      <c r="A803" s="28"/>
      <c r="B803" s="28"/>
      <c r="C803" s="28"/>
      <c r="D803" s="29"/>
      <c r="E803" s="29"/>
      <c r="F803" s="28"/>
      <c r="G803" s="28"/>
      <c r="H803" s="28"/>
      <c r="I803" s="28"/>
      <c r="J803" s="28"/>
      <c r="K803" s="28"/>
      <c r="L803" s="28"/>
      <c r="M803" s="28"/>
      <c r="N803" s="28"/>
      <c r="O803" s="28"/>
      <c r="P803" s="28"/>
      <c r="Q803" s="28"/>
      <c r="R803" s="28"/>
      <c r="S803" s="28"/>
      <c r="T803" s="28"/>
      <c r="U803" s="7"/>
      <c r="V803" s="28"/>
      <c r="W803" s="28"/>
      <c r="X803" s="2"/>
      <c r="Y803" s="2"/>
      <c r="Z803" s="2"/>
    </row>
    <row r="804" spans="1:26" ht="19.5" customHeight="1">
      <c r="A804" s="28"/>
      <c r="B804" s="28"/>
      <c r="C804" s="28"/>
      <c r="D804" s="29"/>
      <c r="E804" s="29"/>
      <c r="F804" s="28"/>
      <c r="G804" s="28"/>
      <c r="H804" s="28"/>
      <c r="I804" s="28"/>
      <c r="J804" s="28"/>
      <c r="K804" s="28"/>
      <c r="L804" s="28"/>
      <c r="M804" s="28"/>
      <c r="N804" s="28"/>
      <c r="O804" s="28"/>
      <c r="P804" s="28"/>
      <c r="Q804" s="28"/>
      <c r="R804" s="28"/>
      <c r="S804" s="28"/>
      <c r="T804" s="28"/>
      <c r="U804" s="7"/>
      <c r="V804" s="28"/>
      <c r="W804" s="28"/>
      <c r="X804" s="2"/>
      <c r="Y804" s="2"/>
      <c r="Z804" s="2"/>
    </row>
    <row r="805" spans="1:26" ht="19.5" customHeight="1">
      <c r="A805" s="28"/>
      <c r="B805" s="28"/>
      <c r="C805" s="28"/>
      <c r="D805" s="29"/>
      <c r="E805" s="29"/>
      <c r="F805" s="28"/>
      <c r="G805" s="28"/>
      <c r="H805" s="28"/>
      <c r="I805" s="28"/>
      <c r="J805" s="28"/>
      <c r="K805" s="28"/>
      <c r="L805" s="28"/>
      <c r="M805" s="28"/>
      <c r="N805" s="28"/>
      <c r="O805" s="28"/>
      <c r="P805" s="28"/>
      <c r="Q805" s="28"/>
      <c r="R805" s="28"/>
      <c r="S805" s="28"/>
      <c r="T805" s="28"/>
      <c r="U805" s="7"/>
      <c r="V805" s="28"/>
      <c r="W805" s="28"/>
      <c r="X805" s="2"/>
      <c r="Y805" s="2"/>
      <c r="Z805" s="2"/>
    </row>
    <row r="806" spans="1:26" ht="19.5" customHeight="1">
      <c r="A806" s="28"/>
      <c r="B806" s="28"/>
      <c r="C806" s="28"/>
      <c r="D806" s="29"/>
      <c r="E806" s="29"/>
      <c r="F806" s="28"/>
      <c r="G806" s="28"/>
      <c r="H806" s="28"/>
      <c r="I806" s="28"/>
      <c r="J806" s="28"/>
      <c r="K806" s="28"/>
      <c r="L806" s="28"/>
      <c r="M806" s="28"/>
      <c r="N806" s="28"/>
      <c r="O806" s="28"/>
      <c r="P806" s="28"/>
      <c r="Q806" s="28"/>
      <c r="R806" s="28"/>
      <c r="S806" s="28"/>
      <c r="T806" s="28"/>
      <c r="U806" s="7"/>
      <c r="V806" s="28"/>
      <c r="W806" s="28"/>
      <c r="X806" s="2"/>
      <c r="Y806" s="2"/>
      <c r="Z806" s="2"/>
    </row>
    <row r="807" spans="1:26" ht="19.5" customHeight="1">
      <c r="A807" s="28"/>
      <c r="B807" s="28"/>
      <c r="C807" s="28"/>
      <c r="D807" s="29"/>
      <c r="E807" s="29"/>
      <c r="F807" s="28"/>
      <c r="G807" s="28"/>
      <c r="H807" s="28"/>
      <c r="I807" s="28"/>
      <c r="J807" s="28"/>
      <c r="K807" s="28"/>
      <c r="L807" s="28"/>
      <c r="M807" s="28"/>
      <c r="N807" s="28"/>
      <c r="O807" s="28"/>
      <c r="P807" s="28"/>
      <c r="Q807" s="28"/>
      <c r="R807" s="28"/>
      <c r="S807" s="28"/>
      <c r="T807" s="28"/>
      <c r="U807" s="7"/>
      <c r="V807" s="28"/>
      <c r="W807" s="28"/>
      <c r="X807" s="2"/>
      <c r="Y807" s="2"/>
      <c r="Z807" s="2"/>
    </row>
    <row r="808" spans="1:26" ht="19.5" customHeight="1">
      <c r="A808" s="28"/>
      <c r="B808" s="28"/>
      <c r="C808" s="28"/>
      <c r="D808" s="29"/>
      <c r="E808" s="29"/>
      <c r="F808" s="28"/>
      <c r="G808" s="28"/>
      <c r="H808" s="28"/>
      <c r="I808" s="28"/>
      <c r="J808" s="28"/>
      <c r="K808" s="28"/>
      <c r="L808" s="28"/>
      <c r="M808" s="28"/>
      <c r="N808" s="28"/>
      <c r="O808" s="28"/>
      <c r="P808" s="28"/>
      <c r="Q808" s="28"/>
      <c r="R808" s="28"/>
      <c r="S808" s="28"/>
      <c r="T808" s="28"/>
      <c r="U808" s="7"/>
      <c r="V808" s="28"/>
      <c r="W808" s="28"/>
      <c r="X808" s="2"/>
      <c r="Y808" s="2"/>
      <c r="Z808" s="2"/>
    </row>
    <row r="809" spans="1:26" ht="19.5" customHeight="1">
      <c r="A809" s="28"/>
      <c r="B809" s="28"/>
      <c r="C809" s="28"/>
      <c r="D809" s="29"/>
      <c r="E809" s="29"/>
      <c r="F809" s="28"/>
      <c r="G809" s="28"/>
      <c r="H809" s="28"/>
      <c r="I809" s="28"/>
      <c r="J809" s="28"/>
      <c r="K809" s="28"/>
      <c r="L809" s="28"/>
      <c r="M809" s="28"/>
      <c r="N809" s="28"/>
      <c r="O809" s="28"/>
      <c r="P809" s="28"/>
      <c r="Q809" s="28"/>
      <c r="R809" s="28"/>
      <c r="S809" s="28"/>
      <c r="T809" s="28"/>
      <c r="U809" s="7"/>
      <c r="V809" s="28"/>
      <c r="W809" s="28"/>
      <c r="X809" s="2"/>
      <c r="Y809" s="2"/>
      <c r="Z809" s="2"/>
    </row>
    <row r="810" spans="1:26" ht="19.5" customHeight="1">
      <c r="A810" s="28"/>
      <c r="B810" s="28"/>
      <c r="C810" s="28"/>
      <c r="D810" s="29"/>
      <c r="E810" s="29"/>
      <c r="F810" s="28"/>
      <c r="G810" s="28"/>
      <c r="H810" s="28"/>
      <c r="I810" s="28"/>
      <c r="J810" s="28"/>
      <c r="K810" s="28"/>
      <c r="L810" s="28"/>
      <c r="M810" s="28"/>
      <c r="N810" s="28"/>
      <c r="O810" s="28"/>
      <c r="P810" s="28"/>
      <c r="Q810" s="28"/>
      <c r="R810" s="28"/>
      <c r="S810" s="28"/>
      <c r="T810" s="28"/>
      <c r="U810" s="7"/>
      <c r="V810" s="28"/>
      <c r="W810" s="28"/>
      <c r="X810" s="2"/>
      <c r="Y810" s="2"/>
      <c r="Z810" s="2"/>
    </row>
    <row r="811" spans="1:26" ht="19.5" customHeight="1">
      <c r="A811" s="28"/>
      <c r="B811" s="28"/>
      <c r="C811" s="28"/>
      <c r="D811" s="29"/>
      <c r="E811" s="29"/>
      <c r="F811" s="28"/>
      <c r="G811" s="28"/>
      <c r="H811" s="28"/>
      <c r="I811" s="28"/>
      <c r="J811" s="28"/>
      <c r="K811" s="28"/>
      <c r="L811" s="28"/>
      <c r="M811" s="28"/>
      <c r="N811" s="28"/>
      <c r="O811" s="28"/>
      <c r="P811" s="28"/>
      <c r="Q811" s="28"/>
      <c r="R811" s="28"/>
      <c r="S811" s="28"/>
      <c r="T811" s="28"/>
      <c r="U811" s="7"/>
      <c r="V811" s="28"/>
      <c r="W811" s="28"/>
      <c r="X811" s="2"/>
      <c r="Y811" s="2"/>
      <c r="Z811" s="2"/>
    </row>
    <row r="812" spans="1:26" ht="19.5" customHeight="1">
      <c r="A812" s="28"/>
      <c r="B812" s="28"/>
      <c r="C812" s="28"/>
      <c r="D812" s="29"/>
      <c r="E812" s="29"/>
      <c r="F812" s="28"/>
      <c r="G812" s="28"/>
      <c r="H812" s="28"/>
      <c r="I812" s="28"/>
      <c r="J812" s="28"/>
      <c r="K812" s="28"/>
      <c r="L812" s="28"/>
      <c r="M812" s="28"/>
      <c r="N812" s="28"/>
      <c r="O812" s="28"/>
      <c r="P812" s="28"/>
      <c r="Q812" s="28"/>
      <c r="R812" s="28"/>
      <c r="S812" s="28"/>
      <c r="T812" s="28"/>
      <c r="U812" s="7"/>
      <c r="V812" s="28"/>
      <c r="W812" s="28"/>
      <c r="X812" s="2"/>
      <c r="Y812" s="2"/>
      <c r="Z812" s="2"/>
    </row>
    <row r="813" spans="1:26" ht="19.5" customHeight="1">
      <c r="A813" s="28"/>
      <c r="B813" s="28"/>
      <c r="C813" s="28"/>
      <c r="D813" s="29"/>
      <c r="E813" s="29"/>
      <c r="F813" s="28"/>
      <c r="G813" s="28"/>
      <c r="H813" s="28"/>
      <c r="I813" s="28"/>
      <c r="J813" s="28"/>
      <c r="K813" s="28"/>
      <c r="L813" s="28"/>
      <c r="M813" s="28"/>
      <c r="N813" s="28"/>
      <c r="O813" s="28"/>
      <c r="P813" s="28"/>
      <c r="Q813" s="28"/>
      <c r="R813" s="28"/>
      <c r="S813" s="28"/>
      <c r="T813" s="28"/>
      <c r="U813" s="7"/>
      <c r="V813" s="28"/>
      <c r="W813" s="28"/>
      <c r="X813" s="2"/>
      <c r="Y813" s="2"/>
      <c r="Z813" s="2"/>
    </row>
    <row r="814" spans="1:26" ht="19.5" customHeight="1">
      <c r="A814" s="28"/>
      <c r="B814" s="28"/>
      <c r="C814" s="28"/>
      <c r="D814" s="29"/>
      <c r="E814" s="29"/>
      <c r="F814" s="28"/>
      <c r="G814" s="28"/>
      <c r="H814" s="28"/>
      <c r="I814" s="28"/>
      <c r="J814" s="28"/>
      <c r="K814" s="28"/>
      <c r="L814" s="28"/>
      <c r="M814" s="28"/>
      <c r="N814" s="28"/>
      <c r="O814" s="28"/>
      <c r="P814" s="28"/>
      <c r="Q814" s="28"/>
      <c r="R814" s="28"/>
      <c r="S814" s="28"/>
      <c r="T814" s="28"/>
      <c r="U814" s="7"/>
      <c r="V814" s="28"/>
      <c r="W814" s="28"/>
      <c r="X814" s="2"/>
      <c r="Y814" s="2"/>
      <c r="Z814" s="2"/>
    </row>
    <row r="815" spans="1:26" ht="19.5" customHeight="1">
      <c r="A815" s="28"/>
      <c r="B815" s="28"/>
      <c r="C815" s="28"/>
      <c r="D815" s="29"/>
      <c r="E815" s="29"/>
      <c r="F815" s="28"/>
      <c r="G815" s="28"/>
      <c r="H815" s="28"/>
      <c r="I815" s="28"/>
      <c r="J815" s="28"/>
      <c r="K815" s="28"/>
      <c r="L815" s="28"/>
      <c r="M815" s="28"/>
      <c r="N815" s="28"/>
      <c r="O815" s="28"/>
      <c r="P815" s="28"/>
      <c r="Q815" s="28"/>
      <c r="R815" s="28"/>
      <c r="S815" s="28"/>
      <c r="T815" s="28"/>
      <c r="U815" s="7"/>
      <c r="V815" s="28"/>
      <c r="W815" s="28"/>
      <c r="X815" s="2"/>
      <c r="Y815" s="2"/>
      <c r="Z815" s="2"/>
    </row>
    <row r="816" spans="1:26" ht="19.5" customHeight="1">
      <c r="A816" s="28"/>
      <c r="B816" s="28"/>
      <c r="C816" s="28"/>
      <c r="D816" s="29"/>
      <c r="E816" s="29"/>
      <c r="F816" s="28"/>
      <c r="G816" s="28"/>
      <c r="H816" s="28"/>
      <c r="I816" s="28"/>
      <c r="J816" s="28"/>
      <c r="K816" s="28"/>
      <c r="L816" s="28"/>
      <c r="M816" s="28"/>
      <c r="N816" s="28"/>
      <c r="O816" s="28"/>
      <c r="P816" s="28"/>
      <c r="Q816" s="28"/>
      <c r="R816" s="28"/>
      <c r="S816" s="28"/>
      <c r="T816" s="28"/>
      <c r="U816" s="7"/>
      <c r="V816" s="28"/>
      <c r="W816" s="28"/>
      <c r="X816" s="2"/>
      <c r="Y816" s="2"/>
      <c r="Z816" s="2"/>
    </row>
    <row r="817" spans="1:26" ht="19.5" customHeight="1">
      <c r="A817" s="28"/>
      <c r="B817" s="28"/>
      <c r="C817" s="28"/>
      <c r="D817" s="29"/>
      <c r="E817" s="29"/>
      <c r="F817" s="28"/>
      <c r="G817" s="28"/>
      <c r="H817" s="28"/>
      <c r="I817" s="28"/>
      <c r="J817" s="28"/>
      <c r="K817" s="28"/>
      <c r="L817" s="28"/>
      <c r="M817" s="28"/>
      <c r="N817" s="28"/>
      <c r="O817" s="28"/>
      <c r="P817" s="28"/>
      <c r="Q817" s="28"/>
      <c r="R817" s="28"/>
      <c r="S817" s="28"/>
      <c r="T817" s="28"/>
      <c r="U817" s="7"/>
      <c r="V817" s="28"/>
      <c r="W817" s="28"/>
      <c r="X817" s="2"/>
      <c r="Y817" s="2"/>
      <c r="Z817" s="2"/>
    </row>
    <row r="818" spans="1:26" ht="19.5" customHeight="1">
      <c r="A818" s="28"/>
      <c r="B818" s="28"/>
      <c r="C818" s="28"/>
      <c r="D818" s="29"/>
      <c r="E818" s="29"/>
      <c r="F818" s="28"/>
      <c r="G818" s="28"/>
      <c r="H818" s="28"/>
      <c r="I818" s="28"/>
      <c r="J818" s="28"/>
      <c r="K818" s="28"/>
      <c r="L818" s="28"/>
      <c r="M818" s="28"/>
      <c r="N818" s="28"/>
      <c r="O818" s="28"/>
      <c r="P818" s="28"/>
      <c r="Q818" s="28"/>
      <c r="R818" s="28"/>
      <c r="S818" s="28"/>
      <c r="T818" s="28"/>
      <c r="U818" s="7"/>
      <c r="V818" s="28"/>
      <c r="W818" s="28"/>
      <c r="X818" s="2"/>
      <c r="Y818" s="2"/>
      <c r="Z818" s="2"/>
    </row>
    <row r="819" spans="1:26" ht="19.5" customHeight="1">
      <c r="A819" s="28"/>
      <c r="B819" s="28"/>
      <c r="C819" s="28"/>
      <c r="D819" s="29"/>
      <c r="E819" s="29"/>
      <c r="F819" s="28"/>
      <c r="G819" s="28"/>
      <c r="H819" s="28"/>
      <c r="I819" s="28"/>
      <c r="J819" s="28"/>
      <c r="K819" s="28"/>
      <c r="L819" s="28"/>
      <c r="M819" s="28"/>
      <c r="N819" s="28"/>
      <c r="O819" s="28"/>
      <c r="P819" s="28"/>
      <c r="Q819" s="28"/>
      <c r="R819" s="28"/>
      <c r="S819" s="28"/>
      <c r="T819" s="28"/>
      <c r="U819" s="7"/>
      <c r="V819" s="28"/>
      <c r="W819" s="28"/>
      <c r="X819" s="2"/>
      <c r="Y819" s="2"/>
      <c r="Z819" s="2"/>
    </row>
    <row r="820" spans="1:26" ht="19.5" customHeight="1">
      <c r="A820" s="28"/>
      <c r="B820" s="28"/>
      <c r="C820" s="28"/>
      <c r="D820" s="29"/>
      <c r="E820" s="29"/>
      <c r="F820" s="28"/>
      <c r="G820" s="28"/>
      <c r="H820" s="28"/>
      <c r="I820" s="28"/>
      <c r="J820" s="28"/>
      <c r="K820" s="28"/>
      <c r="L820" s="28"/>
      <c r="M820" s="28"/>
      <c r="N820" s="28"/>
      <c r="O820" s="28"/>
      <c r="P820" s="28"/>
      <c r="Q820" s="28"/>
      <c r="R820" s="28"/>
      <c r="S820" s="28"/>
      <c r="T820" s="28"/>
      <c r="U820" s="7"/>
      <c r="V820" s="28"/>
      <c r="W820" s="28"/>
      <c r="X820" s="2"/>
      <c r="Y820" s="2"/>
      <c r="Z820" s="2"/>
    </row>
    <row r="821" spans="1:26" ht="19.5" customHeight="1">
      <c r="A821" s="28"/>
      <c r="B821" s="28"/>
      <c r="C821" s="28"/>
      <c r="D821" s="29"/>
      <c r="E821" s="29"/>
      <c r="F821" s="28"/>
      <c r="G821" s="28"/>
      <c r="H821" s="28"/>
      <c r="I821" s="28"/>
      <c r="J821" s="28"/>
      <c r="K821" s="28"/>
      <c r="L821" s="28"/>
      <c r="M821" s="28"/>
      <c r="N821" s="28"/>
      <c r="O821" s="28"/>
      <c r="P821" s="28"/>
      <c r="Q821" s="28"/>
      <c r="R821" s="28"/>
      <c r="S821" s="28"/>
      <c r="T821" s="28"/>
      <c r="U821" s="7"/>
      <c r="V821" s="28"/>
      <c r="W821" s="28"/>
      <c r="X821" s="2"/>
      <c r="Y821" s="2"/>
      <c r="Z821" s="2"/>
    </row>
    <row r="822" spans="1:26" ht="19.5" customHeight="1">
      <c r="A822" s="28"/>
      <c r="B822" s="28"/>
      <c r="C822" s="28"/>
      <c r="D822" s="29"/>
      <c r="E822" s="29"/>
      <c r="F822" s="28"/>
      <c r="G822" s="28"/>
      <c r="H822" s="28"/>
      <c r="I822" s="28"/>
      <c r="J822" s="28"/>
      <c r="K822" s="28"/>
      <c r="L822" s="28"/>
      <c r="M822" s="28"/>
      <c r="N822" s="28"/>
      <c r="O822" s="28"/>
      <c r="P822" s="28"/>
      <c r="Q822" s="28"/>
      <c r="R822" s="28"/>
      <c r="S822" s="28"/>
      <c r="T822" s="28"/>
      <c r="U822" s="7"/>
      <c r="V822" s="28"/>
      <c r="W822" s="28"/>
      <c r="X822" s="2"/>
      <c r="Y822" s="2"/>
      <c r="Z822" s="2"/>
    </row>
    <row r="823" spans="1:26" ht="19.5" customHeight="1">
      <c r="A823" s="28"/>
      <c r="B823" s="28"/>
      <c r="C823" s="28"/>
      <c r="D823" s="29"/>
      <c r="E823" s="29"/>
      <c r="F823" s="28"/>
      <c r="G823" s="28"/>
      <c r="H823" s="28"/>
      <c r="I823" s="28"/>
      <c r="J823" s="28"/>
      <c r="K823" s="28"/>
      <c r="L823" s="28"/>
      <c r="M823" s="28"/>
      <c r="N823" s="28"/>
      <c r="O823" s="28"/>
      <c r="P823" s="28"/>
      <c r="Q823" s="28"/>
      <c r="R823" s="28"/>
      <c r="S823" s="28"/>
      <c r="T823" s="28"/>
      <c r="U823" s="7"/>
      <c r="V823" s="28"/>
      <c r="W823" s="28"/>
      <c r="X823" s="2"/>
      <c r="Y823" s="2"/>
      <c r="Z823" s="2"/>
    </row>
    <row r="824" spans="1:26" ht="19.5" customHeight="1">
      <c r="A824" s="28"/>
      <c r="B824" s="28"/>
      <c r="C824" s="28"/>
      <c r="D824" s="29"/>
      <c r="E824" s="29"/>
      <c r="F824" s="28"/>
      <c r="G824" s="28"/>
      <c r="H824" s="28"/>
      <c r="I824" s="28"/>
      <c r="J824" s="28"/>
      <c r="K824" s="28"/>
      <c r="L824" s="28"/>
      <c r="M824" s="28"/>
      <c r="N824" s="28"/>
      <c r="O824" s="28"/>
      <c r="P824" s="28"/>
      <c r="Q824" s="28"/>
      <c r="R824" s="28"/>
      <c r="S824" s="28"/>
      <c r="T824" s="28"/>
      <c r="U824" s="7"/>
      <c r="V824" s="28"/>
      <c r="W824" s="28"/>
      <c r="X824" s="2"/>
      <c r="Y824" s="2"/>
      <c r="Z824" s="2"/>
    </row>
    <row r="825" spans="1:26" ht="19.5" customHeight="1">
      <c r="A825" s="28"/>
      <c r="B825" s="28"/>
      <c r="C825" s="28"/>
      <c r="D825" s="29"/>
      <c r="E825" s="29"/>
      <c r="F825" s="28"/>
      <c r="G825" s="28"/>
      <c r="H825" s="28"/>
      <c r="I825" s="28"/>
      <c r="J825" s="28"/>
      <c r="K825" s="28"/>
      <c r="L825" s="28"/>
      <c r="M825" s="28"/>
      <c r="N825" s="28"/>
      <c r="O825" s="28"/>
      <c r="P825" s="28"/>
      <c r="Q825" s="28"/>
      <c r="R825" s="28"/>
      <c r="S825" s="28"/>
      <c r="T825" s="28"/>
      <c r="U825" s="7"/>
      <c r="V825" s="28"/>
      <c r="W825" s="28"/>
      <c r="X825" s="2"/>
      <c r="Y825" s="2"/>
      <c r="Z825" s="2"/>
    </row>
    <row r="826" spans="1:26" ht="19.5" customHeight="1">
      <c r="A826" s="28"/>
      <c r="B826" s="28"/>
      <c r="C826" s="28"/>
      <c r="D826" s="29"/>
      <c r="E826" s="29"/>
      <c r="F826" s="28"/>
      <c r="G826" s="28"/>
      <c r="H826" s="28"/>
      <c r="I826" s="28"/>
      <c r="J826" s="28"/>
      <c r="K826" s="28"/>
      <c r="L826" s="28"/>
      <c r="M826" s="28"/>
      <c r="N826" s="28"/>
      <c r="O826" s="28"/>
      <c r="P826" s="28"/>
      <c r="Q826" s="28"/>
      <c r="R826" s="28"/>
      <c r="S826" s="28"/>
      <c r="T826" s="28"/>
      <c r="U826" s="7"/>
      <c r="V826" s="28"/>
      <c r="W826" s="28"/>
      <c r="X826" s="2"/>
      <c r="Y826" s="2"/>
      <c r="Z826" s="2"/>
    </row>
    <row r="827" spans="1:26" ht="19.5" customHeight="1">
      <c r="A827" s="28"/>
      <c r="B827" s="28"/>
      <c r="C827" s="28"/>
      <c r="D827" s="29"/>
      <c r="E827" s="29"/>
      <c r="F827" s="28"/>
      <c r="G827" s="28"/>
      <c r="H827" s="28"/>
      <c r="I827" s="28"/>
      <c r="J827" s="28"/>
      <c r="K827" s="28"/>
      <c r="L827" s="28"/>
      <c r="M827" s="28"/>
      <c r="N827" s="28"/>
      <c r="O827" s="28"/>
      <c r="P827" s="28"/>
      <c r="Q827" s="28"/>
      <c r="R827" s="28"/>
      <c r="S827" s="28"/>
      <c r="T827" s="28"/>
      <c r="U827" s="7"/>
      <c r="V827" s="28"/>
      <c r="W827" s="28"/>
      <c r="X827" s="2"/>
      <c r="Y827" s="2"/>
      <c r="Z827" s="2"/>
    </row>
    <row r="828" spans="1:26" ht="19.5" customHeight="1">
      <c r="A828" s="28"/>
      <c r="B828" s="28"/>
      <c r="C828" s="28"/>
      <c r="D828" s="29"/>
      <c r="E828" s="29"/>
      <c r="F828" s="28"/>
      <c r="G828" s="28"/>
      <c r="H828" s="28"/>
      <c r="I828" s="28"/>
      <c r="J828" s="28"/>
      <c r="K828" s="28"/>
      <c r="L828" s="28"/>
      <c r="M828" s="28"/>
      <c r="N828" s="28"/>
      <c r="O828" s="28"/>
      <c r="P828" s="28"/>
      <c r="Q828" s="28"/>
      <c r="R828" s="28"/>
      <c r="S828" s="28"/>
      <c r="T828" s="28"/>
      <c r="U828" s="7"/>
      <c r="V828" s="28"/>
      <c r="W828" s="28"/>
      <c r="X828" s="2"/>
      <c r="Y828" s="2"/>
      <c r="Z828" s="2"/>
    </row>
    <row r="829" spans="1:26" ht="19.5" customHeight="1">
      <c r="A829" s="28"/>
      <c r="B829" s="28"/>
      <c r="C829" s="28"/>
      <c r="D829" s="29"/>
      <c r="E829" s="29"/>
      <c r="F829" s="28"/>
      <c r="G829" s="28"/>
      <c r="H829" s="28"/>
      <c r="I829" s="28"/>
      <c r="J829" s="28"/>
      <c r="K829" s="28"/>
      <c r="L829" s="28"/>
      <c r="M829" s="28"/>
      <c r="N829" s="28"/>
      <c r="O829" s="28"/>
      <c r="P829" s="28"/>
      <c r="Q829" s="28"/>
      <c r="R829" s="28"/>
      <c r="S829" s="28"/>
      <c r="T829" s="28"/>
      <c r="U829" s="7"/>
      <c r="V829" s="28"/>
      <c r="W829" s="28"/>
      <c r="X829" s="2"/>
      <c r="Y829" s="2"/>
      <c r="Z829" s="2"/>
    </row>
    <row r="830" spans="1:26" ht="19.5" customHeight="1">
      <c r="A830" s="28"/>
      <c r="B830" s="28"/>
      <c r="C830" s="28"/>
      <c r="D830" s="29"/>
      <c r="E830" s="29"/>
      <c r="F830" s="28"/>
      <c r="G830" s="28"/>
      <c r="H830" s="28"/>
      <c r="I830" s="28"/>
      <c r="J830" s="28"/>
      <c r="K830" s="28"/>
      <c r="L830" s="28"/>
      <c r="M830" s="28"/>
      <c r="N830" s="28"/>
      <c r="O830" s="28"/>
      <c r="P830" s="28"/>
      <c r="Q830" s="28"/>
      <c r="R830" s="28"/>
      <c r="S830" s="28"/>
      <c r="T830" s="28"/>
      <c r="U830" s="7"/>
      <c r="V830" s="28"/>
      <c r="W830" s="28"/>
      <c r="X830" s="2"/>
      <c r="Y830" s="2"/>
      <c r="Z830" s="2"/>
    </row>
    <row r="831" spans="1:26" ht="19.5" customHeight="1">
      <c r="A831" s="28"/>
      <c r="B831" s="28"/>
      <c r="C831" s="28"/>
      <c r="D831" s="29"/>
      <c r="E831" s="29"/>
      <c r="F831" s="28"/>
      <c r="G831" s="28"/>
      <c r="H831" s="28"/>
      <c r="I831" s="28"/>
      <c r="J831" s="28"/>
      <c r="K831" s="28"/>
      <c r="L831" s="28"/>
      <c r="M831" s="28"/>
      <c r="N831" s="28"/>
      <c r="O831" s="28"/>
      <c r="P831" s="28"/>
      <c r="Q831" s="28"/>
      <c r="R831" s="28"/>
      <c r="S831" s="28"/>
      <c r="T831" s="28"/>
      <c r="U831" s="7"/>
      <c r="V831" s="28"/>
      <c r="W831" s="28"/>
      <c r="X831" s="2"/>
      <c r="Y831" s="2"/>
      <c r="Z831" s="2"/>
    </row>
    <row r="832" spans="1:26" ht="19.5" customHeight="1">
      <c r="A832" s="28"/>
      <c r="B832" s="28"/>
      <c r="C832" s="28"/>
      <c r="D832" s="29"/>
      <c r="E832" s="29"/>
      <c r="F832" s="28"/>
      <c r="G832" s="28"/>
      <c r="H832" s="28"/>
      <c r="I832" s="28"/>
      <c r="J832" s="28"/>
      <c r="K832" s="28"/>
      <c r="L832" s="28"/>
      <c r="M832" s="28"/>
      <c r="N832" s="28"/>
      <c r="O832" s="28"/>
      <c r="P832" s="28"/>
      <c r="Q832" s="28"/>
      <c r="R832" s="28"/>
      <c r="S832" s="28"/>
      <c r="T832" s="28"/>
      <c r="U832" s="7"/>
      <c r="V832" s="28"/>
      <c r="W832" s="28"/>
      <c r="X832" s="2"/>
      <c r="Y832" s="2"/>
      <c r="Z832" s="2"/>
    </row>
    <row r="833" spans="1:26" ht="19.5" customHeight="1">
      <c r="A833" s="28"/>
      <c r="B833" s="28"/>
      <c r="C833" s="28"/>
      <c r="D833" s="29"/>
      <c r="E833" s="29"/>
      <c r="F833" s="28"/>
      <c r="G833" s="28"/>
      <c r="H833" s="28"/>
      <c r="I833" s="28"/>
      <c r="J833" s="28"/>
      <c r="K833" s="28"/>
      <c r="L833" s="28"/>
      <c r="M833" s="28"/>
      <c r="N833" s="28"/>
      <c r="O833" s="28"/>
      <c r="P833" s="28"/>
      <c r="Q833" s="28"/>
      <c r="R833" s="28"/>
      <c r="S833" s="28"/>
      <c r="T833" s="28"/>
      <c r="U833" s="7"/>
      <c r="V833" s="28"/>
      <c r="W833" s="28"/>
      <c r="X833" s="2"/>
      <c r="Y833" s="2"/>
      <c r="Z833" s="2"/>
    </row>
    <row r="834" spans="1:26" ht="19.5" customHeight="1">
      <c r="A834" s="28"/>
      <c r="B834" s="28"/>
      <c r="C834" s="28"/>
      <c r="D834" s="29"/>
      <c r="E834" s="29"/>
      <c r="F834" s="28"/>
      <c r="G834" s="28"/>
      <c r="H834" s="28"/>
      <c r="I834" s="28"/>
      <c r="J834" s="28"/>
      <c r="K834" s="28"/>
      <c r="L834" s="28"/>
      <c r="M834" s="28"/>
      <c r="N834" s="28"/>
      <c r="O834" s="28"/>
      <c r="P834" s="28"/>
      <c r="Q834" s="28"/>
      <c r="R834" s="28"/>
      <c r="S834" s="28"/>
      <c r="T834" s="28"/>
      <c r="U834" s="7"/>
      <c r="V834" s="28"/>
      <c r="W834" s="28"/>
      <c r="X834" s="2"/>
      <c r="Y834" s="2"/>
      <c r="Z834" s="2"/>
    </row>
    <row r="835" spans="1:26" ht="19.5" customHeight="1">
      <c r="A835" s="28"/>
      <c r="B835" s="28"/>
      <c r="C835" s="28"/>
      <c r="D835" s="29"/>
      <c r="E835" s="29"/>
      <c r="F835" s="28"/>
      <c r="G835" s="28"/>
      <c r="H835" s="28"/>
      <c r="I835" s="28"/>
      <c r="J835" s="28"/>
      <c r="K835" s="28"/>
      <c r="L835" s="28"/>
      <c r="M835" s="28"/>
      <c r="N835" s="28"/>
      <c r="O835" s="28"/>
      <c r="P835" s="28"/>
      <c r="Q835" s="28"/>
      <c r="R835" s="28"/>
      <c r="S835" s="28"/>
      <c r="T835" s="28"/>
      <c r="U835" s="7"/>
      <c r="V835" s="28"/>
      <c r="W835" s="28"/>
      <c r="X835" s="2"/>
      <c r="Y835" s="2"/>
      <c r="Z835" s="2"/>
    </row>
    <row r="836" spans="1:26" ht="19.5" customHeight="1">
      <c r="A836" s="28"/>
      <c r="B836" s="28"/>
      <c r="C836" s="28"/>
      <c r="D836" s="29"/>
      <c r="E836" s="29"/>
      <c r="F836" s="28"/>
      <c r="G836" s="28"/>
      <c r="H836" s="28"/>
      <c r="I836" s="28"/>
      <c r="J836" s="28"/>
      <c r="K836" s="28"/>
      <c r="L836" s="28"/>
      <c r="M836" s="28"/>
      <c r="N836" s="28"/>
      <c r="O836" s="28"/>
      <c r="P836" s="28"/>
      <c r="Q836" s="28"/>
      <c r="R836" s="28"/>
      <c r="S836" s="28"/>
      <c r="T836" s="28"/>
      <c r="U836" s="7"/>
      <c r="V836" s="28"/>
      <c r="W836" s="28"/>
      <c r="X836" s="2"/>
      <c r="Y836" s="2"/>
      <c r="Z836" s="2"/>
    </row>
    <row r="837" spans="1:26" ht="19.5" customHeight="1">
      <c r="A837" s="28"/>
      <c r="B837" s="28"/>
      <c r="C837" s="28"/>
      <c r="D837" s="29"/>
      <c r="E837" s="29"/>
      <c r="F837" s="28"/>
      <c r="G837" s="28"/>
      <c r="H837" s="28"/>
      <c r="I837" s="28"/>
      <c r="J837" s="28"/>
      <c r="K837" s="28"/>
      <c r="L837" s="28"/>
      <c r="M837" s="28"/>
      <c r="N837" s="28"/>
      <c r="O837" s="28"/>
      <c r="P837" s="28"/>
      <c r="Q837" s="28"/>
      <c r="R837" s="28"/>
      <c r="S837" s="28"/>
      <c r="T837" s="28"/>
      <c r="U837" s="7"/>
      <c r="V837" s="28"/>
      <c r="W837" s="28"/>
      <c r="X837" s="2"/>
      <c r="Y837" s="2"/>
      <c r="Z837" s="2"/>
    </row>
    <row r="838" spans="1:26" ht="19.5" customHeight="1">
      <c r="A838" s="28"/>
      <c r="B838" s="28"/>
      <c r="C838" s="28"/>
      <c r="D838" s="29"/>
      <c r="E838" s="29"/>
      <c r="F838" s="28"/>
      <c r="G838" s="28"/>
      <c r="H838" s="28"/>
      <c r="I838" s="28"/>
      <c r="J838" s="28"/>
      <c r="K838" s="28"/>
      <c r="L838" s="28"/>
      <c r="M838" s="28"/>
      <c r="N838" s="28"/>
      <c r="O838" s="28"/>
      <c r="P838" s="28"/>
      <c r="Q838" s="28"/>
      <c r="R838" s="28"/>
      <c r="S838" s="28"/>
      <c r="T838" s="28"/>
      <c r="U838" s="7"/>
      <c r="V838" s="28"/>
      <c r="W838" s="28"/>
      <c r="X838" s="2"/>
      <c r="Y838" s="2"/>
      <c r="Z838" s="2"/>
    </row>
    <row r="839" spans="1:26" ht="19.5" customHeight="1">
      <c r="A839" s="28"/>
      <c r="B839" s="28"/>
      <c r="C839" s="28"/>
      <c r="D839" s="29"/>
      <c r="E839" s="29"/>
      <c r="F839" s="28"/>
      <c r="G839" s="28"/>
      <c r="H839" s="28"/>
      <c r="I839" s="28"/>
      <c r="J839" s="28"/>
      <c r="K839" s="28"/>
      <c r="L839" s="28"/>
      <c r="M839" s="28"/>
      <c r="N839" s="28"/>
      <c r="O839" s="28"/>
      <c r="P839" s="28"/>
      <c r="Q839" s="28"/>
      <c r="R839" s="28"/>
      <c r="S839" s="28"/>
      <c r="T839" s="28"/>
      <c r="U839" s="7"/>
      <c r="V839" s="28"/>
      <c r="W839" s="28"/>
      <c r="X839" s="2"/>
      <c r="Y839" s="2"/>
      <c r="Z839" s="2"/>
    </row>
    <row r="840" spans="1:26" ht="19.5" customHeight="1">
      <c r="A840" s="28"/>
      <c r="B840" s="28"/>
      <c r="C840" s="28"/>
      <c r="D840" s="29"/>
      <c r="E840" s="29"/>
      <c r="F840" s="28"/>
      <c r="G840" s="28"/>
      <c r="H840" s="28"/>
      <c r="I840" s="28"/>
      <c r="J840" s="28"/>
      <c r="K840" s="28"/>
      <c r="L840" s="28"/>
      <c r="M840" s="28"/>
      <c r="N840" s="28"/>
      <c r="O840" s="28"/>
      <c r="P840" s="28"/>
      <c r="Q840" s="28"/>
      <c r="R840" s="28"/>
      <c r="S840" s="28"/>
      <c r="T840" s="28"/>
      <c r="U840" s="7"/>
      <c r="V840" s="28"/>
      <c r="W840" s="28"/>
      <c r="X840" s="2"/>
      <c r="Y840" s="2"/>
      <c r="Z840" s="2"/>
    </row>
    <row r="841" spans="1:26" ht="19.5" customHeight="1">
      <c r="A841" s="28"/>
      <c r="B841" s="28"/>
      <c r="C841" s="28"/>
      <c r="D841" s="29"/>
      <c r="E841" s="29"/>
      <c r="F841" s="28"/>
      <c r="G841" s="28"/>
      <c r="H841" s="28"/>
      <c r="I841" s="28"/>
      <c r="J841" s="28"/>
      <c r="K841" s="28"/>
      <c r="L841" s="28"/>
      <c r="M841" s="28"/>
      <c r="N841" s="28"/>
      <c r="O841" s="28"/>
      <c r="P841" s="28"/>
      <c r="Q841" s="28"/>
      <c r="R841" s="28"/>
      <c r="S841" s="28"/>
      <c r="T841" s="28"/>
      <c r="U841" s="7"/>
      <c r="V841" s="28"/>
      <c r="W841" s="28"/>
      <c r="X841" s="2"/>
      <c r="Y841" s="2"/>
      <c r="Z841" s="2"/>
    </row>
    <row r="842" spans="1:26" ht="19.5" customHeight="1">
      <c r="A842" s="28"/>
      <c r="B842" s="28"/>
      <c r="C842" s="28"/>
      <c r="D842" s="29"/>
      <c r="E842" s="29"/>
      <c r="F842" s="28"/>
      <c r="G842" s="28"/>
      <c r="H842" s="28"/>
      <c r="I842" s="28"/>
      <c r="J842" s="28"/>
      <c r="K842" s="28"/>
      <c r="L842" s="28"/>
      <c r="M842" s="28"/>
      <c r="N842" s="28"/>
      <c r="O842" s="28"/>
      <c r="P842" s="28"/>
      <c r="Q842" s="28"/>
      <c r="R842" s="28"/>
      <c r="S842" s="28"/>
      <c r="T842" s="28"/>
      <c r="U842" s="7"/>
      <c r="V842" s="28"/>
      <c r="W842" s="28"/>
      <c r="X842" s="2"/>
      <c r="Y842" s="2"/>
      <c r="Z842" s="2"/>
    </row>
    <row r="843" spans="1:26" ht="19.5" customHeight="1">
      <c r="A843" s="28"/>
      <c r="B843" s="28"/>
      <c r="C843" s="28"/>
      <c r="D843" s="29"/>
      <c r="E843" s="29"/>
      <c r="F843" s="28"/>
      <c r="G843" s="28"/>
      <c r="H843" s="28"/>
      <c r="I843" s="28"/>
      <c r="J843" s="28"/>
      <c r="K843" s="28"/>
      <c r="L843" s="28"/>
      <c r="M843" s="28"/>
      <c r="N843" s="28"/>
      <c r="O843" s="28"/>
      <c r="P843" s="28"/>
      <c r="Q843" s="28"/>
      <c r="R843" s="28"/>
      <c r="S843" s="28"/>
      <c r="T843" s="28"/>
      <c r="U843" s="7"/>
      <c r="V843" s="28"/>
      <c r="W843" s="28"/>
      <c r="X843" s="2"/>
      <c r="Y843" s="2"/>
      <c r="Z843" s="2"/>
    </row>
    <row r="844" spans="1:26" ht="19.5" customHeight="1">
      <c r="A844" s="28"/>
      <c r="B844" s="28"/>
      <c r="C844" s="28"/>
      <c r="D844" s="29"/>
      <c r="E844" s="29"/>
      <c r="F844" s="28"/>
      <c r="G844" s="28"/>
      <c r="H844" s="28"/>
      <c r="I844" s="28"/>
      <c r="J844" s="28"/>
      <c r="K844" s="28"/>
      <c r="L844" s="28"/>
      <c r="M844" s="28"/>
      <c r="N844" s="28"/>
      <c r="O844" s="28"/>
      <c r="P844" s="28"/>
      <c r="Q844" s="28"/>
      <c r="R844" s="28"/>
      <c r="S844" s="28"/>
      <c r="T844" s="28"/>
      <c r="U844" s="7"/>
      <c r="V844" s="28"/>
      <c r="W844" s="28"/>
      <c r="X844" s="2"/>
      <c r="Y844" s="2"/>
      <c r="Z844" s="2"/>
    </row>
    <row r="845" spans="1:26" ht="19.5" customHeight="1">
      <c r="A845" s="28"/>
      <c r="B845" s="28"/>
      <c r="C845" s="28"/>
      <c r="D845" s="29"/>
      <c r="E845" s="29"/>
      <c r="F845" s="28"/>
      <c r="G845" s="28"/>
      <c r="H845" s="28"/>
      <c r="I845" s="28"/>
      <c r="J845" s="28"/>
      <c r="K845" s="28"/>
      <c r="L845" s="28"/>
      <c r="M845" s="28"/>
      <c r="N845" s="28"/>
      <c r="O845" s="28"/>
      <c r="P845" s="28"/>
      <c r="Q845" s="28"/>
      <c r="R845" s="28"/>
      <c r="S845" s="28"/>
      <c r="T845" s="28"/>
      <c r="U845" s="7"/>
      <c r="V845" s="28"/>
      <c r="W845" s="28"/>
      <c r="X845" s="2"/>
      <c r="Y845" s="2"/>
      <c r="Z845" s="2"/>
    </row>
    <row r="846" spans="1:26" ht="19.5" customHeight="1">
      <c r="A846" s="28"/>
      <c r="B846" s="28"/>
      <c r="C846" s="28"/>
      <c r="D846" s="29"/>
      <c r="E846" s="29"/>
      <c r="F846" s="28"/>
      <c r="G846" s="28"/>
      <c r="H846" s="28"/>
      <c r="I846" s="28"/>
      <c r="J846" s="28"/>
      <c r="K846" s="28"/>
      <c r="L846" s="28"/>
      <c r="M846" s="28"/>
      <c r="N846" s="28"/>
      <c r="O846" s="28"/>
      <c r="P846" s="28"/>
      <c r="Q846" s="28"/>
      <c r="R846" s="28"/>
      <c r="S846" s="28"/>
      <c r="T846" s="28"/>
      <c r="U846" s="7"/>
      <c r="V846" s="28"/>
      <c r="W846" s="28"/>
      <c r="X846" s="2"/>
      <c r="Y846" s="2"/>
      <c r="Z846" s="2"/>
    </row>
    <row r="847" spans="1:26" ht="19.5" customHeight="1">
      <c r="A847" s="28"/>
      <c r="B847" s="28"/>
      <c r="C847" s="28"/>
      <c r="D847" s="29"/>
      <c r="E847" s="29"/>
      <c r="F847" s="28"/>
      <c r="G847" s="28"/>
      <c r="H847" s="28"/>
      <c r="I847" s="28"/>
      <c r="J847" s="28"/>
      <c r="K847" s="28"/>
      <c r="L847" s="28"/>
      <c r="M847" s="28"/>
      <c r="N847" s="28"/>
      <c r="O847" s="28"/>
      <c r="P847" s="28"/>
      <c r="Q847" s="28"/>
      <c r="R847" s="28"/>
      <c r="S847" s="28"/>
      <c r="T847" s="28"/>
      <c r="U847" s="7"/>
      <c r="V847" s="28"/>
      <c r="W847" s="28"/>
      <c r="X847" s="2"/>
      <c r="Y847" s="2"/>
      <c r="Z847" s="2"/>
    </row>
    <row r="848" spans="1:26" ht="19.5" customHeight="1">
      <c r="A848" s="28"/>
      <c r="B848" s="28"/>
      <c r="C848" s="28"/>
      <c r="D848" s="29"/>
      <c r="E848" s="29"/>
      <c r="F848" s="28"/>
      <c r="G848" s="28"/>
      <c r="H848" s="28"/>
      <c r="I848" s="28"/>
      <c r="J848" s="28"/>
      <c r="K848" s="28"/>
      <c r="L848" s="28"/>
      <c r="M848" s="28"/>
      <c r="N848" s="28"/>
      <c r="O848" s="28"/>
      <c r="P848" s="28"/>
      <c r="Q848" s="28"/>
      <c r="R848" s="28"/>
      <c r="S848" s="28"/>
      <c r="T848" s="28"/>
      <c r="U848" s="7"/>
      <c r="V848" s="28"/>
      <c r="W848" s="28"/>
      <c r="X848" s="2"/>
      <c r="Y848" s="2"/>
      <c r="Z848" s="2"/>
    </row>
    <row r="849" spans="1:26" ht="19.5" customHeight="1">
      <c r="A849" s="28"/>
      <c r="B849" s="28"/>
      <c r="C849" s="28"/>
      <c r="D849" s="29"/>
      <c r="E849" s="29"/>
      <c r="F849" s="28"/>
      <c r="G849" s="28"/>
      <c r="H849" s="28"/>
      <c r="I849" s="28"/>
      <c r="J849" s="28"/>
      <c r="K849" s="28"/>
      <c r="L849" s="28"/>
      <c r="M849" s="28"/>
      <c r="N849" s="28"/>
      <c r="O849" s="28"/>
      <c r="P849" s="28"/>
      <c r="Q849" s="28"/>
      <c r="R849" s="28"/>
      <c r="S849" s="28"/>
      <c r="T849" s="28"/>
      <c r="U849" s="7"/>
      <c r="V849" s="28"/>
      <c r="W849" s="28"/>
      <c r="X849" s="2"/>
      <c r="Y849" s="2"/>
      <c r="Z849" s="2"/>
    </row>
    <row r="850" spans="1:26" ht="19.5" customHeight="1">
      <c r="A850" s="28"/>
      <c r="B850" s="28"/>
      <c r="C850" s="28"/>
      <c r="D850" s="29"/>
      <c r="E850" s="29"/>
      <c r="F850" s="28"/>
      <c r="G850" s="28"/>
      <c r="H850" s="28"/>
      <c r="I850" s="28"/>
      <c r="J850" s="28"/>
      <c r="K850" s="28"/>
      <c r="L850" s="28"/>
      <c r="M850" s="28"/>
      <c r="N850" s="28"/>
      <c r="O850" s="28"/>
      <c r="P850" s="28"/>
      <c r="Q850" s="28"/>
      <c r="R850" s="28"/>
      <c r="S850" s="28"/>
      <c r="T850" s="28"/>
      <c r="U850" s="7"/>
      <c r="V850" s="28"/>
      <c r="W850" s="28"/>
      <c r="X850" s="2"/>
      <c r="Y850" s="2"/>
      <c r="Z850" s="2"/>
    </row>
    <row r="851" spans="1:26" ht="19.5" customHeight="1">
      <c r="A851" s="28"/>
      <c r="B851" s="28"/>
      <c r="C851" s="28"/>
      <c r="D851" s="29"/>
      <c r="E851" s="29"/>
      <c r="F851" s="28"/>
      <c r="G851" s="28"/>
      <c r="H851" s="28"/>
      <c r="I851" s="28"/>
      <c r="J851" s="28"/>
      <c r="K851" s="28"/>
      <c r="L851" s="28"/>
      <c r="M851" s="28"/>
      <c r="N851" s="28"/>
      <c r="O851" s="28"/>
      <c r="P851" s="28"/>
      <c r="Q851" s="28"/>
      <c r="R851" s="28"/>
      <c r="S851" s="28"/>
      <c r="T851" s="28"/>
      <c r="U851" s="7"/>
      <c r="V851" s="28"/>
      <c r="W851" s="28"/>
      <c r="X851" s="2"/>
      <c r="Y851" s="2"/>
      <c r="Z851" s="2"/>
    </row>
    <row r="852" spans="1:26" ht="19.5" customHeight="1">
      <c r="A852" s="28"/>
      <c r="B852" s="28"/>
      <c r="C852" s="28"/>
      <c r="D852" s="29"/>
      <c r="E852" s="29"/>
      <c r="F852" s="28"/>
      <c r="G852" s="28"/>
      <c r="H852" s="28"/>
      <c r="I852" s="28"/>
      <c r="J852" s="28"/>
      <c r="K852" s="28"/>
      <c r="L852" s="28"/>
      <c r="M852" s="28"/>
      <c r="N852" s="28"/>
      <c r="O852" s="28"/>
      <c r="P852" s="28"/>
      <c r="Q852" s="28"/>
      <c r="R852" s="28"/>
      <c r="S852" s="28"/>
      <c r="T852" s="28"/>
      <c r="U852" s="7"/>
      <c r="V852" s="28"/>
      <c r="W852" s="28"/>
      <c r="X852" s="2"/>
      <c r="Y852" s="2"/>
      <c r="Z852" s="2"/>
    </row>
    <row r="853" spans="1:26" ht="19.5" customHeight="1">
      <c r="A853" s="28"/>
      <c r="B853" s="28"/>
      <c r="C853" s="28"/>
      <c r="D853" s="29"/>
      <c r="E853" s="29"/>
      <c r="F853" s="28"/>
      <c r="G853" s="28"/>
      <c r="H853" s="28"/>
      <c r="I853" s="28"/>
      <c r="J853" s="28"/>
      <c r="K853" s="28"/>
      <c r="L853" s="28"/>
      <c r="M853" s="28"/>
      <c r="N853" s="28"/>
      <c r="O853" s="28"/>
      <c r="P853" s="28"/>
      <c r="Q853" s="28"/>
      <c r="R853" s="28"/>
      <c r="S853" s="28"/>
      <c r="T853" s="28"/>
      <c r="U853" s="7"/>
      <c r="V853" s="28"/>
      <c r="W853" s="28"/>
      <c r="X853" s="2"/>
      <c r="Y853" s="2"/>
      <c r="Z853" s="2"/>
    </row>
    <row r="854" spans="1:26" ht="19.5" customHeight="1">
      <c r="A854" s="28"/>
      <c r="B854" s="28"/>
      <c r="C854" s="28"/>
      <c r="D854" s="29"/>
      <c r="E854" s="29"/>
      <c r="F854" s="28"/>
      <c r="G854" s="28"/>
      <c r="H854" s="28"/>
      <c r="I854" s="28"/>
      <c r="J854" s="28"/>
      <c r="K854" s="28"/>
      <c r="L854" s="28"/>
      <c r="M854" s="28"/>
      <c r="N854" s="28"/>
      <c r="O854" s="28"/>
      <c r="P854" s="28"/>
      <c r="Q854" s="28"/>
      <c r="R854" s="28"/>
      <c r="S854" s="28"/>
      <c r="T854" s="28"/>
      <c r="U854" s="7"/>
      <c r="V854" s="28"/>
      <c r="W854" s="28"/>
      <c r="X854" s="2"/>
      <c r="Y854" s="2"/>
      <c r="Z854" s="2"/>
    </row>
    <row r="855" spans="1:26" ht="19.5" customHeight="1">
      <c r="A855" s="28"/>
      <c r="B855" s="28"/>
      <c r="C855" s="28"/>
      <c r="D855" s="29"/>
      <c r="E855" s="29"/>
      <c r="F855" s="28"/>
      <c r="G855" s="28"/>
      <c r="H855" s="28"/>
      <c r="I855" s="28"/>
      <c r="J855" s="28"/>
      <c r="K855" s="28"/>
      <c r="L855" s="28"/>
      <c r="M855" s="28"/>
      <c r="N855" s="28"/>
      <c r="O855" s="28"/>
      <c r="P855" s="28"/>
      <c r="Q855" s="28"/>
      <c r="R855" s="28"/>
      <c r="S855" s="28"/>
      <c r="T855" s="28"/>
      <c r="U855" s="7"/>
      <c r="V855" s="28"/>
      <c r="W855" s="28"/>
      <c r="X855" s="2"/>
      <c r="Y855" s="2"/>
      <c r="Z855" s="2"/>
    </row>
    <row r="856" spans="1:26" ht="19.5" customHeight="1">
      <c r="A856" s="28"/>
      <c r="B856" s="28"/>
      <c r="C856" s="28"/>
      <c r="D856" s="29"/>
      <c r="E856" s="29"/>
      <c r="F856" s="28"/>
      <c r="G856" s="28"/>
      <c r="H856" s="28"/>
      <c r="I856" s="28"/>
      <c r="J856" s="28"/>
      <c r="K856" s="28"/>
      <c r="L856" s="28"/>
      <c r="M856" s="28"/>
      <c r="N856" s="28"/>
      <c r="O856" s="28"/>
      <c r="P856" s="28"/>
      <c r="Q856" s="28"/>
      <c r="R856" s="28"/>
      <c r="S856" s="28"/>
      <c r="T856" s="28"/>
      <c r="U856" s="7"/>
      <c r="V856" s="28"/>
      <c r="W856" s="28"/>
      <c r="X856" s="2"/>
      <c r="Y856" s="2"/>
      <c r="Z856" s="2"/>
    </row>
    <row r="857" spans="1:26" ht="19.5" customHeight="1">
      <c r="A857" s="28"/>
      <c r="B857" s="28"/>
      <c r="C857" s="28"/>
      <c r="D857" s="29"/>
      <c r="E857" s="29"/>
      <c r="F857" s="28"/>
      <c r="G857" s="28"/>
      <c r="H857" s="28"/>
      <c r="I857" s="28"/>
      <c r="J857" s="28"/>
      <c r="K857" s="28"/>
      <c r="L857" s="28"/>
      <c r="M857" s="28"/>
      <c r="N857" s="28"/>
      <c r="O857" s="28"/>
      <c r="P857" s="28"/>
      <c r="Q857" s="28"/>
      <c r="R857" s="28"/>
      <c r="S857" s="28"/>
      <c r="T857" s="28"/>
      <c r="U857" s="7"/>
      <c r="V857" s="28"/>
      <c r="W857" s="28"/>
      <c r="X857" s="2"/>
      <c r="Y857" s="2"/>
      <c r="Z857" s="2"/>
    </row>
    <row r="858" spans="1:26" ht="19.5" customHeight="1">
      <c r="A858" s="28"/>
      <c r="B858" s="28"/>
      <c r="C858" s="28"/>
      <c r="D858" s="29"/>
      <c r="E858" s="29"/>
      <c r="F858" s="28"/>
      <c r="G858" s="28"/>
      <c r="H858" s="28"/>
      <c r="I858" s="28"/>
      <c r="J858" s="28"/>
      <c r="K858" s="28"/>
      <c r="L858" s="28"/>
      <c r="M858" s="28"/>
      <c r="N858" s="28"/>
      <c r="O858" s="28"/>
      <c r="P858" s="28"/>
      <c r="Q858" s="28"/>
      <c r="R858" s="28"/>
      <c r="S858" s="28"/>
      <c r="T858" s="28"/>
      <c r="U858" s="7"/>
      <c r="V858" s="28"/>
      <c r="W858" s="28"/>
      <c r="X858" s="2"/>
      <c r="Y858" s="2"/>
      <c r="Z858" s="2"/>
    </row>
    <row r="859" spans="1:26" ht="19.5" customHeight="1">
      <c r="A859" s="28"/>
      <c r="B859" s="28"/>
      <c r="C859" s="28"/>
      <c r="D859" s="29"/>
      <c r="E859" s="29"/>
      <c r="F859" s="28"/>
      <c r="G859" s="28"/>
      <c r="H859" s="28"/>
      <c r="I859" s="28"/>
      <c r="J859" s="28"/>
      <c r="K859" s="28"/>
      <c r="L859" s="28"/>
      <c r="M859" s="28"/>
      <c r="N859" s="28"/>
      <c r="O859" s="28"/>
      <c r="P859" s="28"/>
      <c r="Q859" s="28"/>
      <c r="R859" s="28"/>
      <c r="S859" s="28"/>
      <c r="T859" s="28"/>
      <c r="U859" s="7"/>
      <c r="V859" s="28"/>
      <c r="W859" s="28"/>
      <c r="X859" s="2"/>
      <c r="Y859" s="2"/>
      <c r="Z859" s="2"/>
    </row>
    <row r="860" spans="1:26" ht="19.5" customHeight="1">
      <c r="A860" s="28"/>
      <c r="B860" s="28"/>
      <c r="C860" s="28"/>
      <c r="D860" s="29"/>
      <c r="E860" s="29"/>
      <c r="F860" s="28"/>
      <c r="G860" s="28"/>
      <c r="H860" s="28"/>
      <c r="I860" s="28"/>
      <c r="J860" s="28"/>
      <c r="K860" s="28"/>
      <c r="L860" s="28"/>
      <c r="M860" s="28"/>
      <c r="N860" s="28"/>
      <c r="O860" s="28"/>
      <c r="P860" s="28"/>
      <c r="Q860" s="28"/>
      <c r="R860" s="28"/>
      <c r="S860" s="28"/>
      <c r="T860" s="28"/>
      <c r="U860" s="7"/>
      <c r="V860" s="28"/>
      <c r="W860" s="28"/>
      <c r="X860" s="2"/>
      <c r="Y860" s="2"/>
      <c r="Z860" s="2"/>
    </row>
    <row r="861" spans="1:26" ht="19.5" customHeight="1">
      <c r="A861" s="28"/>
      <c r="B861" s="28"/>
      <c r="C861" s="28"/>
      <c r="D861" s="29"/>
      <c r="E861" s="29"/>
      <c r="F861" s="28"/>
      <c r="G861" s="28"/>
      <c r="H861" s="28"/>
      <c r="I861" s="28"/>
      <c r="J861" s="28"/>
      <c r="K861" s="28"/>
      <c r="L861" s="28"/>
      <c r="M861" s="28"/>
      <c r="N861" s="28"/>
      <c r="O861" s="28"/>
      <c r="P861" s="28"/>
      <c r="Q861" s="28"/>
      <c r="R861" s="28"/>
      <c r="S861" s="28"/>
      <c r="T861" s="28"/>
      <c r="U861" s="7"/>
      <c r="V861" s="28"/>
      <c r="W861" s="28"/>
      <c r="X861" s="2"/>
      <c r="Y861" s="2"/>
      <c r="Z861" s="2"/>
    </row>
    <row r="862" spans="1:26" ht="19.5" customHeight="1">
      <c r="A862" s="28"/>
      <c r="B862" s="28"/>
      <c r="C862" s="28"/>
      <c r="D862" s="29"/>
      <c r="E862" s="29"/>
      <c r="F862" s="28"/>
      <c r="G862" s="28"/>
      <c r="H862" s="28"/>
      <c r="I862" s="28"/>
      <c r="J862" s="28"/>
      <c r="K862" s="28"/>
      <c r="L862" s="28"/>
      <c r="M862" s="28"/>
      <c r="N862" s="28"/>
      <c r="O862" s="28"/>
      <c r="P862" s="28"/>
      <c r="Q862" s="28"/>
      <c r="R862" s="28"/>
      <c r="S862" s="28"/>
      <c r="T862" s="28"/>
      <c r="U862" s="7"/>
      <c r="V862" s="28"/>
      <c r="W862" s="28"/>
      <c r="X862" s="2"/>
      <c r="Y862" s="2"/>
      <c r="Z862" s="2"/>
    </row>
    <row r="863" spans="1:26" ht="19.5" customHeight="1">
      <c r="A863" s="28"/>
      <c r="B863" s="28"/>
      <c r="C863" s="28"/>
      <c r="D863" s="29"/>
      <c r="E863" s="29"/>
      <c r="F863" s="28"/>
      <c r="G863" s="28"/>
      <c r="H863" s="28"/>
      <c r="I863" s="28"/>
      <c r="J863" s="28"/>
      <c r="K863" s="28"/>
      <c r="L863" s="28"/>
      <c r="M863" s="28"/>
      <c r="N863" s="28"/>
      <c r="O863" s="28"/>
      <c r="P863" s="28"/>
      <c r="Q863" s="28"/>
      <c r="R863" s="28"/>
      <c r="S863" s="28"/>
      <c r="T863" s="28"/>
      <c r="U863" s="7"/>
      <c r="V863" s="28"/>
      <c r="W863" s="28"/>
      <c r="X863" s="2"/>
      <c r="Y863" s="2"/>
      <c r="Z863" s="2"/>
    </row>
    <row r="864" spans="1:26" ht="19.5" customHeight="1">
      <c r="A864" s="28"/>
      <c r="B864" s="28"/>
      <c r="C864" s="28"/>
      <c r="D864" s="29"/>
      <c r="E864" s="29"/>
      <c r="F864" s="28"/>
      <c r="G864" s="28"/>
      <c r="H864" s="28"/>
      <c r="I864" s="28"/>
      <c r="J864" s="28"/>
      <c r="K864" s="28"/>
      <c r="L864" s="28"/>
      <c r="M864" s="28"/>
      <c r="N864" s="28"/>
      <c r="O864" s="28"/>
      <c r="P864" s="28"/>
      <c r="Q864" s="28"/>
      <c r="R864" s="28"/>
      <c r="S864" s="28"/>
      <c r="T864" s="28"/>
      <c r="U864" s="7"/>
      <c r="V864" s="28"/>
      <c r="W864" s="28"/>
      <c r="X864" s="2"/>
      <c r="Y864" s="2"/>
      <c r="Z864" s="2"/>
    </row>
    <row r="865" spans="1:26" ht="19.5" customHeight="1">
      <c r="A865" s="28"/>
      <c r="B865" s="28"/>
      <c r="C865" s="28"/>
      <c r="D865" s="29"/>
      <c r="E865" s="29"/>
      <c r="F865" s="28"/>
      <c r="G865" s="28"/>
      <c r="H865" s="28"/>
      <c r="I865" s="28"/>
      <c r="J865" s="28"/>
      <c r="K865" s="28"/>
      <c r="L865" s="28"/>
      <c r="M865" s="28"/>
      <c r="N865" s="28"/>
      <c r="O865" s="28"/>
      <c r="P865" s="28"/>
      <c r="Q865" s="28"/>
      <c r="R865" s="28"/>
      <c r="S865" s="28"/>
      <c r="T865" s="28"/>
      <c r="U865" s="7"/>
      <c r="V865" s="28"/>
      <c r="W865" s="28"/>
      <c r="X865" s="2"/>
      <c r="Y865" s="2"/>
      <c r="Z865" s="2"/>
    </row>
    <row r="866" spans="1:26" ht="19.5" customHeight="1">
      <c r="A866" s="28"/>
      <c r="B866" s="28"/>
      <c r="C866" s="28"/>
      <c r="D866" s="29"/>
      <c r="E866" s="29"/>
      <c r="F866" s="28"/>
      <c r="G866" s="28"/>
      <c r="H866" s="28"/>
      <c r="I866" s="28"/>
      <c r="J866" s="28"/>
      <c r="K866" s="28"/>
      <c r="L866" s="28"/>
      <c r="M866" s="28"/>
      <c r="N866" s="28"/>
      <c r="O866" s="28"/>
      <c r="P866" s="28"/>
      <c r="Q866" s="28"/>
      <c r="R866" s="28"/>
      <c r="S866" s="28"/>
      <c r="T866" s="28"/>
      <c r="U866" s="7"/>
      <c r="V866" s="28"/>
      <c r="W866" s="28"/>
      <c r="X866" s="2"/>
      <c r="Y866" s="2"/>
      <c r="Z866" s="2"/>
    </row>
    <row r="867" spans="1:26" ht="19.5" customHeight="1">
      <c r="A867" s="28"/>
      <c r="B867" s="28"/>
      <c r="C867" s="28"/>
      <c r="D867" s="29"/>
      <c r="E867" s="29"/>
      <c r="F867" s="28"/>
      <c r="G867" s="28"/>
      <c r="H867" s="28"/>
      <c r="I867" s="28"/>
      <c r="J867" s="28"/>
      <c r="K867" s="28"/>
      <c r="L867" s="28"/>
      <c r="M867" s="28"/>
      <c r="N867" s="28"/>
      <c r="O867" s="28"/>
      <c r="P867" s="28"/>
      <c r="Q867" s="28"/>
      <c r="R867" s="28"/>
      <c r="S867" s="28"/>
      <c r="T867" s="28"/>
      <c r="U867" s="7"/>
      <c r="V867" s="28"/>
      <c r="W867" s="28"/>
      <c r="X867" s="2"/>
      <c r="Y867" s="2"/>
      <c r="Z867" s="2"/>
    </row>
    <row r="868" spans="1:26" ht="19.5" customHeight="1">
      <c r="A868" s="28"/>
      <c r="B868" s="28"/>
      <c r="C868" s="28"/>
      <c r="D868" s="29"/>
      <c r="E868" s="29"/>
      <c r="F868" s="28"/>
      <c r="G868" s="28"/>
      <c r="H868" s="28"/>
      <c r="I868" s="28"/>
      <c r="J868" s="28"/>
      <c r="K868" s="28"/>
      <c r="L868" s="28"/>
      <c r="M868" s="28"/>
      <c r="N868" s="28"/>
      <c r="O868" s="28"/>
      <c r="P868" s="28"/>
      <c r="Q868" s="28"/>
      <c r="R868" s="28"/>
      <c r="S868" s="28"/>
      <c r="T868" s="28"/>
      <c r="U868" s="7"/>
      <c r="V868" s="28"/>
      <c r="W868" s="28"/>
      <c r="X868" s="2"/>
      <c r="Y868" s="2"/>
      <c r="Z868" s="2"/>
    </row>
    <row r="869" spans="1:26" ht="19.5" customHeight="1">
      <c r="A869" s="28"/>
      <c r="B869" s="28"/>
      <c r="C869" s="28"/>
      <c r="D869" s="29"/>
      <c r="E869" s="29"/>
      <c r="F869" s="28"/>
      <c r="G869" s="28"/>
      <c r="H869" s="28"/>
      <c r="I869" s="28"/>
      <c r="J869" s="28"/>
      <c r="K869" s="28"/>
      <c r="L869" s="28"/>
      <c r="M869" s="28"/>
      <c r="N869" s="28"/>
      <c r="O869" s="28"/>
      <c r="P869" s="28"/>
      <c r="Q869" s="28"/>
      <c r="R869" s="28"/>
      <c r="S869" s="28"/>
      <c r="T869" s="28"/>
      <c r="U869" s="7"/>
      <c r="V869" s="28"/>
      <c r="W869" s="28"/>
      <c r="X869" s="2"/>
      <c r="Y869" s="2"/>
      <c r="Z869" s="2"/>
    </row>
    <row r="870" spans="1:26" ht="19.5" customHeight="1">
      <c r="A870" s="28"/>
      <c r="B870" s="28"/>
      <c r="C870" s="28"/>
      <c r="D870" s="29"/>
      <c r="E870" s="29"/>
      <c r="F870" s="28"/>
      <c r="G870" s="28"/>
      <c r="H870" s="28"/>
      <c r="I870" s="28"/>
      <c r="J870" s="28"/>
      <c r="K870" s="28"/>
      <c r="L870" s="28"/>
      <c r="M870" s="28"/>
      <c r="N870" s="28"/>
      <c r="O870" s="28"/>
      <c r="P870" s="28"/>
      <c r="Q870" s="28"/>
      <c r="R870" s="28"/>
      <c r="S870" s="28"/>
      <c r="T870" s="28"/>
      <c r="U870" s="7"/>
      <c r="V870" s="28"/>
      <c r="W870" s="28"/>
      <c r="X870" s="2"/>
      <c r="Y870" s="2"/>
      <c r="Z870" s="2"/>
    </row>
    <row r="871" spans="1:26" ht="19.5" customHeight="1">
      <c r="A871" s="28"/>
      <c r="B871" s="28"/>
      <c r="C871" s="28"/>
      <c r="D871" s="29"/>
      <c r="E871" s="29"/>
      <c r="F871" s="28"/>
      <c r="G871" s="28"/>
      <c r="H871" s="28"/>
      <c r="I871" s="28"/>
      <c r="J871" s="28"/>
      <c r="K871" s="28"/>
      <c r="L871" s="28"/>
      <c r="M871" s="28"/>
      <c r="N871" s="28"/>
      <c r="O871" s="28"/>
      <c r="P871" s="28"/>
      <c r="Q871" s="28"/>
      <c r="R871" s="28"/>
      <c r="S871" s="28"/>
      <c r="T871" s="28"/>
      <c r="U871" s="7"/>
      <c r="V871" s="28"/>
      <c r="W871" s="28"/>
      <c r="X871" s="2"/>
      <c r="Y871" s="2"/>
      <c r="Z871" s="2"/>
    </row>
    <row r="872" spans="1:26" ht="19.5" customHeight="1">
      <c r="A872" s="28"/>
      <c r="B872" s="28"/>
      <c r="C872" s="28"/>
      <c r="D872" s="29"/>
      <c r="E872" s="29"/>
      <c r="F872" s="28"/>
      <c r="G872" s="28"/>
      <c r="H872" s="28"/>
      <c r="I872" s="28"/>
      <c r="J872" s="28"/>
      <c r="K872" s="28"/>
      <c r="L872" s="28"/>
      <c r="M872" s="28"/>
      <c r="N872" s="28"/>
      <c r="O872" s="28"/>
      <c r="P872" s="28"/>
      <c r="Q872" s="28"/>
      <c r="R872" s="28"/>
      <c r="S872" s="28"/>
      <c r="T872" s="28"/>
      <c r="U872" s="7"/>
      <c r="V872" s="28"/>
      <c r="W872" s="28"/>
      <c r="X872" s="2"/>
      <c r="Y872" s="2"/>
      <c r="Z872" s="2"/>
    </row>
    <row r="873" spans="1:26" ht="19.5" customHeight="1">
      <c r="A873" s="28"/>
      <c r="B873" s="28"/>
      <c r="C873" s="28"/>
      <c r="D873" s="29"/>
      <c r="E873" s="29"/>
      <c r="F873" s="28"/>
      <c r="G873" s="28"/>
      <c r="H873" s="28"/>
      <c r="I873" s="28"/>
      <c r="J873" s="28"/>
      <c r="K873" s="28"/>
      <c r="L873" s="28"/>
      <c r="M873" s="28"/>
      <c r="N873" s="28"/>
      <c r="O873" s="28"/>
      <c r="P873" s="28"/>
      <c r="Q873" s="28"/>
      <c r="R873" s="28"/>
      <c r="S873" s="28"/>
      <c r="T873" s="28"/>
      <c r="U873" s="7"/>
      <c r="V873" s="28"/>
      <c r="W873" s="28"/>
      <c r="X873" s="2"/>
      <c r="Y873" s="2"/>
      <c r="Z873" s="2"/>
    </row>
    <row r="874" spans="1:26" ht="19.5" customHeight="1">
      <c r="A874" s="28"/>
      <c r="B874" s="28"/>
      <c r="C874" s="28"/>
      <c r="D874" s="29"/>
      <c r="E874" s="29"/>
      <c r="F874" s="28"/>
      <c r="G874" s="28"/>
      <c r="H874" s="28"/>
      <c r="I874" s="28"/>
      <c r="J874" s="28"/>
      <c r="K874" s="28"/>
      <c r="L874" s="28"/>
      <c r="M874" s="28"/>
      <c r="N874" s="28"/>
      <c r="O874" s="28"/>
      <c r="P874" s="28"/>
      <c r="Q874" s="28"/>
      <c r="R874" s="28"/>
      <c r="S874" s="28"/>
      <c r="T874" s="28"/>
      <c r="U874" s="7"/>
      <c r="V874" s="28"/>
      <c r="W874" s="28"/>
      <c r="X874" s="2"/>
      <c r="Y874" s="2"/>
      <c r="Z874" s="2"/>
    </row>
    <row r="875" spans="1:26" ht="19.5" customHeight="1">
      <c r="A875" s="28"/>
      <c r="B875" s="28"/>
      <c r="C875" s="28"/>
      <c r="D875" s="29"/>
      <c r="E875" s="29"/>
      <c r="F875" s="28"/>
      <c r="G875" s="28"/>
      <c r="H875" s="28"/>
      <c r="I875" s="28"/>
      <c r="J875" s="28"/>
      <c r="K875" s="28"/>
      <c r="L875" s="28"/>
      <c r="M875" s="28"/>
      <c r="N875" s="28"/>
      <c r="O875" s="28"/>
      <c r="P875" s="28"/>
      <c r="Q875" s="28"/>
      <c r="R875" s="28"/>
      <c r="S875" s="28"/>
      <c r="T875" s="28"/>
      <c r="U875" s="7"/>
      <c r="V875" s="28"/>
      <c r="W875" s="28"/>
      <c r="X875" s="2"/>
      <c r="Y875" s="2"/>
      <c r="Z875" s="2"/>
    </row>
    <row r="876" spans="1:26" ht="19.5" customHeight="1">
      <c r="A876" s="28"/>
      <c r="B876" s="28"/>
      <c r="C876" s="28"/>
      <c r="D876" s="29"/>
      <c r="E876" s="29"/>
      <c r="F876" s="28"/>
      <c r="G876" s="28"/>
      <c r="H876" s="28"/>
      <c r="I876" s="28"/>
      <c r="J876" s="28"/>
      <c r="K876" s="28"/>
      <c r="L876" s="28"/>
      <c r="M876" s="28"/>
      <c r="N876" s="28"/>
      <c r="O876" s="28"/>
      <c r="P876" s="28"/>
      <c r="Q876" s="28"/>
      <c r="R876" s="28"/>
      <c r="S876" s="28"/>
      <c r="T876" s="28"/>
      <c r="U876" s="7"/>
      <c r="V876" s="28"/>
      <c r="W876" s="28"/>
      <c r="X876" s="2"/>
      <c r="Y876" s="2"/>
      <c r="Z876" s="2"/>
    </row>
    <row r="877" spans="1:26" ht="19.5" customHeight="1">
      <c r="A877" s="28"/>
      <c r="B877" s="28"/>
      <c r="C877" s="28"/>
      <c r="D877" s="29"/>
      <c r="E877" s="29"/>
      <c r="F877" s="28"/>
      <c r="G877" s="28"/>
      <c r="H877" s="28"/>
      <c r="I877" s="28"/>
      <c r="J877" s="28"/>
      <c r="K877" s="28"/>
      <c r="L877" s="28"/>
      <c r="M877" s="28"/>
      <c r="N877" s="28"/>
      <c r="O877" s="28"/>
      <c r="P877" s="28"/>
      <c r="Q877" s="28"/>
      <c r="R877" s="28"/>
      <c r="S877" s="28"/>
      <c r="T877" s="28"/>
      <c r="U877" s="7"/>
      <c r="V877" s="28"/>
      <c r="W877" s="28"/>
      <c r="X877" s="2"/>
      <c r="Y877" s="2"/>
      <c r="Z877" s="2"/>
    </row>
    <row r="878" spans="1:26" ht="19.5" customHeight="1">
      <c r="A878" s="28"/>
      <c r="B878" s="28"/>
      <c r="C878" s="28"/>
      <c r="D878" s="29"/>
      <c r="E878" s="29"/>
      <c r="F878" s="28"/>
      <c r="G878" s="28"/>
      <c r="H878" s="28"/>
      <c r="I878" s="28"/>
      <c r="J878" s="28"/>
      <c r="K878" s="28"/>
      <c r="L878" s="28"/>
      <c r="M878" s="28"/>
      <c r="N878" s="28"/>
      <c r="O878" s="28"/>
      <c r="P878" s="28"/>
      <c r="Q878" s="28"/>
      <c r="R878" s="28"/>
      <c r="S878" s="28"/>
      <c r="T878" s="28"/>
      <c r="U878" s="7"/>
      <c r="V878" s="28"/>
      <c r="W878" s="28"/>
      <c r="X878" s="2"/>
      <c r="Y878" s="2"/>
      <c r="Z878" s="2"/>
    </row>
    <row r="879" spans="1:26" ht="19.5" customHeight="1">
      <c r="A879" s="28"/>
      <c r="B879" s="28"/>
      <c r="C879" s="28"/>
      <c r="D879" s="29"/>
      <c r="E879" s="29"/>
      <c r="F879" s="28"/>
      <c r="G879" s="28"/>
      <c r="H879" s="28"/>
      <c r="I879" s="28"/>
      <c r="J879" s="28"/>
      <c r="K879" s="28"/>
      <c r="L879" s="28"/>
      <c r="M879" s="28"/>
      <c r="N879" s="28"/>
      <c r="O879" s="28"/>
      <c r="P879" s="28"/>
      <c r="Q879" s="28"/>
      <c r="R879" s="28"/>
      <c r="S879" s="28"/>
      <c r="T879" s="28"/>
      <c r="U879" s="7"/>
      <c r="V879" s="28"/>
      <c r="W879" s="28"/>
      <c r="X879" s="2"/>
      <c r="Y879" s="2"/>
      <c r="Z879" s="2"/>
    </row>
    <row r="880" spans="1:26" ht="19.5" customHeight="1">
      <c r="A880" s="28"/>
      <c r="B880" s="28"/>
      <c r="C880" s="28"/>
      <c r="D880" s="29"/>
      <c r="E880" s="29"/>
      <c r="F880" s="28"/>
      <c r="G880" s="28"/>
      <c r="H880" s="28"/>
      <c r="I880" s="28"/>
      <c r="J880" s="28"/>
      <c r="K880" s="28"/>
      <c r="L880" s="28"/>
      <c r="M880" s="28"/>
      <c r="N880" s="28"/>
      <c r="O880" s="28"/>
      <c r="P880" s="28"/>
      <c r="Q880" s="28"/>
      <c r="R880" s="28"/>
      <c r="S880" s="28"/>
      <c r="T880" s="28"/>
      <c r="U880" s="7"/>
      <c r="V880" s="28"/>
      <c r="W880" s="28"/>
      <c r="X880" s="2"/>
      <c r="Y880" s="2"/>
      <c r="Z880" s="2"/>
    </row>
    <row r="881" spans="1:26" ht="19.5" customHeight="1">
      <c r="A881" s="28"/>
      <c r="B881" s="28"/>
      <c r="C881" s="28"/>
      <c r="D881" s="29"/>
      <c r="E881" s="29"/>
      <c r="F881" s="28"/>
      <c r="G881" s="28"/>
      <c r="H881" s="28"/>
      <c r="I881" s="28"/>
      <c r="J881" s="28"/>
      <c r="K881" s="28"/>
      <c r="L881" s="28"/>
      <c r="M881" s="28"/>
      <c r="N881" s="28"/>
      <c r="O881" s="28"/>
      <c r="P881" s="28"/>
      <c r="Q881" s="28"/>
      <c r="R881" s="28"/>
      <c r="S881" s="28"/>
      <c r="T881" s="28"/>
      <c r="U881" s="7"/>
      <c r="V881" s="28"/>
      <c r="W881" s="28"/>
      <c r="X881" s="2"/>
      <c r="Y881" s="2"/>
      <c r="Z881" s="2"/>
    </row>
    <row r="882" spans="1:26" ht="19.5" customHeight="1">
      <c r="A882" s="28"/>
      <c r="B882" s="28"/>
      <c r="C882" s="28"/>
      <c r="D882" s="29"/>
      <c r="E882" s="29"/>
      <c r="F882" s="28"/>
      <c r="G882" s="28"/>
      <c r="H882" s="28"/>
      <c r="I882" s="28"/>
      <c r="J882" s="28"/>
      <c r="K882" s="28"/>
      <c r="L882" s="28"/>
      <c r="M882" s="28"/>
      <c r="N882" s="28"/>
      <c r="O882" s="28"/>
      <c r="P882" s="28"/>
      <c r="Q882" s="28"/>
      <c r="R882" s="28"/>
      <c r="S882" s="28"/>
      <c r="T882" s="28"/>
      <c r="U882" s="7"/>
      <c r="V882" s="28"/>
      <c r="W882" s="28"/>
      <c r="X882" s="2"/>
      <c r="Y882" s="2"/>
      <c r="Z882" s="2"/>
    </row>
    <row r="883" spans="1:26" ht="19.5" customHeight="1">
      <c r="A883" s="28"/>
      <c r="B883" s="28"/>
      <c r="C883" s="28"/>
      <c r="D883" s="29"/>
      <c r="E883" s="29"/>
      <c r="F883" s="28"/>
      <c r="G883" s="28"/>
      <c r="H883" s="28"/>
      <c r="I883" s="28"/>
      <c r="J883" s="28"/>
      <c r="K883" s="28"/>
      <c r="L883" s="28"/>
      <c r="M883" s="28"/>
      <c r="N883" s="28"/>
      <c r="O883" s="28"/>
      <c r="P883" s="28"/>
      <c r="Q883" s="28"/>
      <c r="R883" s="28"/>
      <c r="S883" s="28"/>
      <c r="T883" s="28"/>
      <c r="U883" s="7"/>
      <c r="V883" s="28"/>
      <c r="W883" s="28"/>
      <c r="X883" s="2"/>
      <c r="Y883" s="2"/>
      <c r="Z883" s="2"/>
    </row>
    <row r="884" spans="1:26" ht="19.5" customHeight="1">
      <c r="A884" s="28"/>
      <c r="B884" s="28"/>
      <c r="C884" s="28"/>
      <c r="D884" s="29"/>
      <c r="E884" s="29"/>
      <c r="F884" s="28"/>
      <c r="G884" s="28"/>
      <c r="H884" s="28"/>
      <c r="I884" s="28"/>
      <c r="J884" s="28"/>
      <c r="K884" s="28"/>
      <c r="L884" s="28"/>
      <c r="M884" s="28"/>
      <c r="N884" s="28"/>
      <c r="O884" s="28"/>
      <c r="P884" s="28"/>
      <c r="Q884" s="28"/>
      <c r="R884" s="28"/>
      <c r="S884" s="28"/>
      <c r="T884" s="28"/>
      <c r="U884" s="7"/>
      <c r="V884" s="28"/>
      <c r="W884" s="28"/>
      <c r="X884" s="2"/>
      <c r="Y884" s="2"/>
      <c r="Z884" s="2"/>
    </row>
    <row r="885" spans="1:26" ht="19.5" customHeight="1">
      <c r="A885" s="28"/>
      <c r="B885" s="28"/>
      <c r="C885" s="28"/>
      <c r="D885" s="29"/>
      <c r="E885" s="29"/>
      <c r="F885" s="28"/>
      <c r="G885" s="28"/>
      <c r="H885" s="28"/>
      <c r="I885" s="28"/>
      <c r="J885" s="28"/>
      <c r="K885" s="28"/>
      <c r="L885" s="28"/>
      <c r="M885" s="28"/>
      <c r="N885" s="28"/>
      <c r="O885" s="28"/>
      <c r="P885" s="28"/>
      <c r="Q885" s="28"/>
      <c r="R885" s="28"/>
      <c r="S885" s="28"/>
      <c r="T885" s="28"/>
      <c r="U885" s="7"/>
      <c r="V885" s="28"/>
      <c r="W885" s="28"/>
      <c r="X885" s="2"/>
      <c r="Y885" s="2"/>
      <c r="Z885" s="2"/>
    </row>
    <row r="886" spans="1:26" ht="19.5" customHeight="1">
      <c r="A886" s="28"/>
      <c r="B886" s="28"/>
      <c r="C886" s="28"/>
      <c r="D886" s="29"/>
      <c r="E886" s="29"/>
      <c r="F886" s="28"/>
      <c r="G886" s="28"/>
      <c r="H886" s="28"/>
      <c r="I886" s="28"/>
      <c r="J886" s="28"/>
      <c r="K886" s="28"/>
      <c r="L886" s="28"/>
      <c r="M886" s="28"/>
      <c r="N886" s="28"/>
      <c r="O886" s="28"/>
      <c r="P886" s="28"/>
      <c r="Q886" s="28"/>
      <c r="R886" s="28"/>
      <c r="S886" s="28"/>
      <c r="T886" s="28"/>
      <c r="U886" s="7"/>
      <c r="V886" s="28"/>
      <c r="W886" s="28"/>
      <c r="X886" s="2"/>
      <c r="Y886" s="2"/>
      <c r="Z886" s="2"/>
    </row>
    <row r="887" spans="1:26" ht="19.5" customHeight="1">
      <c r="A887" s="28"/>
      <c r="B887" s="28"/>
      <c r="C887" s="28"/>
      <c r="D887" s="29"/>
      <c r="E887" s="29"/>
      <c r="F887" s="28"/>
      <c r="G887" s="28"/>
      <c r="H887" s="28"/>
      <c r="I887" s="28"/>
      <c r="J887" s="28"/>
      <c r="K887" s="28"/>
      <c r="L887" s="28"/>
      <c r="M887" s="28"/>
      <c r="N887" s="28"/>
      <c r="O887" s="28"/>
      <c r="P887" s="28"/>
      <c r="Q887" s="28"/>
      <c r="R887" s="28"/>
      <c r="S887" s="28"/>
      <c r="T887" s="28"/>
      <c r="U887" s="7"/>
      <c r="V887" s="28"/>
      <c r="W887" s="28"/>
      <c r="X887" s="2"/>
      <c r="Y887" s="2"/>
      <c r="Z887" s="2"/>
    </row>
    <row r="888" spans="1:26" ht="19.5" customHeight="1">
      <c r="A888" s="28"/>
      <c r="B888" s="28"/>
      <c r="C888" s="28"/>
      <c r="D888" s="29"/>
      <c r="E888" s="29"/>
      <c r="F888" s="28"/>
      <c r="G888" s="28"/>
      <c r="H888" s="28"/>
      <c r="I888" s="28"/>
      <c r="J888" s="28"/>
      <c r="K888" s="28"/>
      <c r="L888" s="28"/>
      <c r="M888" s="28"/>
      <c r="N888" s="28"/>
      <c r="O888" s="28"/>
      <c r="P888" s="28"/>
      <c r="Q888" s="28"/>
      <c r="R888" s="28"/>
      <c r="S888" s="28"/>
      <c r="T888" s="28"/>
      <c r="U888" s="7"/>
      <c r="V888" s="28"/>
      <c r="W888" s="28"/>
      <c r="X888" s="2"/>
      <c r="Y888" s="2"/>
      <c r="Z888" s="2"/>
    </row>
    <row r="889" spans="1:26" ht="19.5" customHeight="1">
      <c r="A889" s="28"/>
      <c r="B889" s="28"/>
      <c r="C889" s="28"/>
      <c r="D889" s="29"/>
      <c r="E889" s="29"/>
      <c r="F889" s="28"/>
      <c r="G889" s="28"/>
      <c r="H889" s="28"/>
      <c r="I889" s="28"/>
      <c r="J889" s="28"/>
      <c r="K889" s="28"/>
      <c r="L889" s="28"/>
      <c r="M889" s="28"/>
      <c r="N889" s="28"/>
      <c r="O889" s="28"/>
      <c r="P889" s="28"/>
      <c r="Q889" s="28"/>
      <c r="R889" s="28"/>
      <c r="S889" s="28"/>
      <c r="T889" s="28"/>
      <c r="U889" s="7"/>
      <c r="V889" s="28"/>
      <c r="W889" s="28"/>
      <c r="X889" s="2"/>
      <c r="Y889" s="2"/>
      <c r="Z889" s="2"/>
    </row>
    <row r="890" spans="1:26" ht="19.5" customHeight="1">
      <c r="A890" s="28"/>
      <c r="B890" s="28"/>
      <c r="C890" s="28"/>
      <c r="D890" s="29"/>
      <c r="E890" s="29"/>
      <c r="F890" s="28"/>
      <c r="G890" s="28"/>
      <c r="H890" s="28"/>
      <c r="I890" s="28"/>
      <c r="J890" s="28"/>
      <c r="K890" s="28"/>
      <c r="L890" s="28"/>
      <c r="M890" s="28"/>
      <c r="N890" s="28"/>
      <c r="O890" s="28"/>
      <c r="P890" s="28"/>
      <c r="Q890" s="28"/>
      <c r="R890" s="28"/>
      <c r="S890" s="28"/>
      <c r="T890" s="28"/>
      <c r="U890" s="7"/>
      <c r="V890" s="28"/>
      <c r="W890" s="28"/>
      <c r="X890" s="2"/>
      <c r="Y890" s="2"/>
      <c r="Z890" s="2"/>
    </row>
    <row r="891" spans="1:26" ht="19.5" customHeight="1">
      <c r="A891" s="28"/>
      <c r="B891" s="28"/>
      <c r="C891" s="28"/>
      <c r="D891" s="29"/>
      <c r="E891" s="29"/>
      <c r="F891" s="28"/>
      <c r="G891" s="28"/>
      <c r="H891" s="28"/>
      <c r="I891" s="28"/>
      <c r="J891" s="28"/>
      <c r="K891" s="28"/>
      <c r="L891" s="28"/>
      <c r="M891" s="28"/>
      <c r="N891" s="28"/>
      <c r="O891" s="28"/>
      <c r="P891" s="28"/>
      <c r="Q891" s="28"/>
      <c r="R891" s="28"/>
      <c r="S891" s="28"/>
      <c r="T891" s="28"/>
      <c r="U891" s="7"/>
      <c r="V891" s="28"/>
      <c r="W891" s="28"/>
      <c r="X891" s="2"/>
      <c r="Y891" s="2"/>
      <c r="Z891" s="2"/>
    </row>
    <row r="892" spans="1:26" ht="19.5" customHeight="1">
      <c r="A892" s="28"/>
      <c r="B892" s="28"/>
      <c r="C892" s="28"/>
      <c r="D892" s="29"/>
      <c r="E892" s="29"/>
      <c r="F892" s="28"/>
      <c r="G892" s="28"/>
      <c r="H892" s="28"/>
      <c r="I892" s="28"/>
      <c r="J892" s="28"/>
      <c r="K892" s="28"/>
      <c r="L892" s="28"/>
      <c r="M892" s="28"/>
      <c r="N892" s="28"/>
      <c r="O892" s="28"/>
      <c r="P892" s="28"/>
      <c r="Q892" s="28"/>
      <c r="R892" s="28"/>
      <c r="S892" s="28"/>
      <c r="T892" s="28"/>
      <c r="U892" s="7"/>
      <c r="V892" s="28"/>
      <c r="W892" s="28"/>
      <c r="X892" s="2"/>
      <c r="Y892" s="2"/>
      <c r="Z892" s="2"/>
    </row>
    <row r="893" spans="1:26" ht="19.5" customHeight="1">
      <c r="A893" s="28"/>
      <c r="B893" s="28"/>
      <c r="C893" s="28"/>
      <c r="D893" s="29"/>
      <c r="E893" s="29"/>
      <c r="F893" s="28"/>
      <c r="G893" s="28"/>
      <c r="H893" s="28"/>
      <c r="I893" s="28"/>
      <c r="J893" s="28"/>
      <c r="K893" s="28"/>
      <c r="L893" s="28"/>
      <c r="M893" s="28"/>
      <c r="N893" s="28"/>
      <c r="O893" s="28"/>
      <c r="P893" s="28"/>
      <c r="Q893" s="28"/>
      <c r="R893" s="28"/>
      <c r="S893" s="28"/>
      <c r="T893" s="28"/>
      <c r="U893" s="7"/>
      <c r="V893" s="28"/>
      <c r="W893" s="28"/>
      <c r="X893" s="2"/>
      <c r="Y893" s="2"/>
      <c r="Z893" s="2"/>
    </row>
    <row r="894" spans="1:26" ht="19.5" customHeight="1">
      <c r="A894" s="28"/>
      <c r="B894" s="28"/>
      <c r="C894" s="28"/>
      <c r="D894" s="29"/>
      <c r="E894" s="29"/>
      <c r="F894" s="28"/>
      <c r="G894" s="28"/>
      <c r="H894" s="28"/>
      <c r="I894" s="28"/>
      <c r="J894" s="28"/>
      <c r="K894" s="28"/>
      <c r="L894" s="28"/>
      <c r="M894" s="28"/>
      <c r="N894" s="28"/>
      <c r="O894" s="28"/>
      <c r="P894" s="28"/>
      <c r="Q894" s="28"/>
      <c r="R894" s="28"/>
      <c r="S894" s="28"/>
      <c r="T894" s="28"/>
      <c r="U894" s="7"/>
      <c r="V894" s="28"/>
      <c r="W894" s="28"/>
      <c r="X894" s="2"/>
      <c r="Y894" s="2"/>
      <c r="Z894" s="2"/>
    </row>
    <row r="895" spans="1:26" ht="19.5" customHeight="1">
      <c r="A895" s="28"/>
      <c r="B895" s="28"/>
      <c r="C895" s="28"/>
      <c r="D895" s="29"/>
      <c r="E895" s="29"/>
      <c r="F895" s="28"/>
      <c r="G895" s="28"/>
      <c r="H895" s="28"/>
      <c r="I895" s="28"/>
      <c r="J895" s="28"/>
      <c r="K895" s="28"/>
      <c r="L895" s="28"/>
      <c r="M895" s="28"/>
      <c r="N895" s="28"/>
      <c r="O895" s="28"/>
      <c r="P895" s="28"/>
      <c r="Q895" s="28"/>
      <c r="R895" s="28"/>
      <c r="S895" s="28"/>
      <c r="T895" s="28"/>
      <c r="U895" s="7"/>
      <c r="V895" s="28"/>
      <c r="W895" s="28"/>
      <c r="X895" s="2"/>
      <c r="Y895" s="2"/>
      <c r="Z895" s="2"/>
    </row>
    <row r="896" spans="1:26" ht="19.5" customHeight="1">
      <c r="A896" s="28"/>
      <c r="B896" s="28"/>
      <c r="C896" s="28"/>
      <c r="D896" s="29"/>
      <c r="E896" s="29"/>
      <c r="F896" s="28"/>
      <c r="G896" s="28"/>
      <c r="H896" s="28"/>
      <c r="I896" s="28"/>
      <c r="J896" s="28"/>
      <c r="K896" s="28"/>
      <c r="L896" s="28"/>
      <c r="M896" s="28"/>
      <c r="N896" s="28"/>
      <c r="O896" s="28"/>
      <c r="P896" s="28"/>
      <c r="Q896" s="28"/>
      <c r="R896" s="28"/>
      <c r="S896" s="28"/>
      <c r="T896" s="28"/>
      <c r="U896" s="7"/>
      <c r="V896" s="28"/>
      <c r="W896" s="28"/>
      <c r="X896" s="2"/>
      <c r="Y896" s="2"/>
      <c r="Z896" s="2"/>
    </row>
    <row r="897" spans="1:26" ht="19.5" customHeight="1">
      <c r="A897" s="28"/>
      <c r="B897" s="28"/>
      <c r="C897" s="28"/>
      <c r="D897" s="29"/>
      <c r="E897" s="29"/>
      <c r="F897" s="28"/>
      <c r="G897" s="28"/>
      <c r="H897" s="28"/>
      <c r="I897" s="28"/>
      <c r="J897" s="28"/>
      <c r="K897" s="28"/>
      <c r="L897" s="28"/>
      <c r="M897" s="28"/>
      <c r="N897" s="28"/>
      <c r="O897" s="28"/>
      <c r="P897" s="28"/>
      <c r="Q897" s="28"/>
      <c r="R897" s="28"/>
      <c r="S897" s="28"/>
      <c r="T897" s="28"/>
      <c r="U897" s="7"/>
      <c r="V897" s="28"/>
      <c r="W897" s="28"/>
      <c r="X897" s="2"/>
      <c r="Y897" s="2"/>
      <c r="Z897" s="2"/>
    </row>
    <row r="898" spans="1:26" ht="19.5" customHeight="1">
      <c r="A898" s="28"/>
      <c r="B898" s="28"/>
      <c r="C898" s="28"/>
      <c r="D898" s="29"/>
      <c r="E898" s="29"/>
      <c r="F898" s="28"/>
      <c r="G898" s="28"/>
      <c r="H898" s="28"/>
      <c r="I898" s="28"/>
      <c r="J898" s="28"/>
      <c r="K898" s="28"/>
      <c r="L898" s="28"/>
      <c r="M898" s="28"/>
      <c r="N898" s="28"/>
      <c r="O898" s="28"/>
      <c r="P898" s="28"/>
      <c r="Q898" s="28"/>
      <c r="R898" s="28"/>
      <c r="S898" s="28"/>
      <c r="T898" s="28"/>
      <c r="U898" s="7"/>
      <c r="V898" s="28"/>
      <c r="W898" s="28"/>
      <c r="X898" s="2"/>
      <c r="Y898" s="2"/>
      <c r="Z898" s="2"/>
    </row>
    <row r="899" spans="1:26" ht="19.5" customHeight="1">
      <c r="A899" s="28"/>
      <c r="B899" s="28"/>
      <c r="C899" s="28"/>
      <c r="D899" s="29"/>
      <c r="E899" s="29"/>
      <c r="F899" s="28"/>
      <c r="G899" s="28"/>
      <c r="H899" s="28"/>
      <c r="I899" s="28"/>
      <c r="J899" s="28"/>
      <c r="K899" s="28"/>
      <c r="L899" s="28"/>
      <c r="M899" s="28"/>
      <c r="N899" s="28"/>
      <c r="O899" s="28"/>
      <c r="P899" s="28"/>
      <c r="Q899" s="28"/>
      <c r="R899" s="28"/>
      <c r="S899" s="28"/>
      <c r="T899" s="28"/>
      <c r="U899" s="7"/>
      <c r="V899" s="28"/>
      <c r="W899" s="28"/>
      <c r="X899" s="2"/>
      <c r="Y899" s="2"/>
      <c r="Z899" s="2"/>
    </row>
    <row r="900" spans="1:26" ht="19.5" customHeight="1">
      <c r="A900" s="28"/>
      <c r="B900" s="28"/>
      <c r="C900" s="28"/>
      <c r="D900" s="29"/>
      <c r="E900" s="29"/>
      <c r="F900" s="28"/>
      <c r="G900" s="28"/>
      <c r="H900" s="28"/>
      <c r="I900" s="28"/>
      <c r="J900" s="28"/>
      <c r="K900" s="28"/>
      <c r="L900" s="28"/>
      <c r="M900" s="28"/>
      <c r="N900" s="28"/>
      <c r="O900" s="28"/>
      <c r="P900" s="28"/>
      <c r="Q900" s="28"/>
      <c r="R900" s="28"/>
      <c r="S900" s="28"/>
      <c r="T900" s="28"/>
      <c r="U900" s="7"/>
      <c r="V900" s="28"/>
      <c r="W900" s="28"/>
      <c r="X900" s="2"/>
      <c r="Y900" s="2"/>
      <c r="Z900" s="2"/>
    </row>
    <row r="901" spans="1:26" ht="19.5" customHeight="1">
      <c r="A901" s="28"/>
      <c r="B901" s="28"/>
      <c r="C901" s="28"/>
      <c r="D901" s="29"/>
      <c r="E901" s="29"/>
      <c r="F901" s="28"/>
      <c r="G901" s="28"/>
      <c r="H901" s="28"/>
      <c r="I901" s="28"/>
      <c r="J901" s="28"/>
      <c r="K901" s="28"/>
      <c r="L901" s="28"/>
      <c r="M901" s="28"/>
      <c r="N901" s="28"/>
      <c r="O901" s="28"/>
      <c r="P901" s="28"/>
      <c r="Q901" s="28"/>
      <c r="R901" s="28"/>
      <c r="S901" s="28"/>
      <c r="T901" s="28"/>
      <c r="U901" s="7"/>
      <c r="V901" s="28"/>
      <c r="W901" s="28"/>
      <c r="X901" s="2"/>
      <c r="Y901" s="2"/>
      <c r="Z901" s="2"/>
    </row>
    <row r="902" spans="1:26" ht="19.5" customHeight="1">
      <c r="A902" s="28"/>
      <c r="B902" s="28"/>
      <c r="C902" s="28"/>
      <c r="D902" s="29"/>
      <c r="E902" s="29"/>
      <c r="F902" s="28"/>
      <c r="G902" s="28"/>
      <c r="H902" s="28"/>
      <c r="I902" s="28"/>
      <c r="J902" s="28"/>
      <c r="K902" s="28"/>
      <c r="L902" s="28"/>
      <c r="M902" s="28"/>
      <c r="N902" s="28"/>
      <c r="O902" s="28"/>
      <c r="P902" s="28"/>
      <c r="Q902" s="28"/>
      <c r="R902" s="28"/>
      <c r="S902" s="28"/>
      <c r="T902" s="28"/>
      <c r="U902" s="7"/>
      <c r="V902" s="28"/>
      <c r="W902" s="28"/>
      <c r="X902" s="2"/>
      <c r="Y902" s="2"/>
      <c r="Z902" s="2"/>
    </row>
    <row r="903" spans="1:26" ht="19.5" customHeight="1">
      <c r="A903" s="28"/>
      <c r="B903" s="28"/>
      <c r="C903" s="28"/>
      <c r="D903" s="29"/>
      <c r="E903" s="29"/>
      <c r="F903" s="28"/>
      <c r="G903" s="28"/>
      <c r="H903" s="28"/>
      <c r="I903" s="28"/>
      <c r="J903" s="28"/>
      <c r="K903" s="28"/>
      <c r="L903" s="28"/>
      <c r="M903" s="28"/>
      <c r="N903" s="28"/>
      <c r="O903" s="28"/>
      <c r="P903" s="28"/>
      <c r="Q903" s="28"/>
      <c r="R903" s="28"/>
      <c r="S903" s="28"/>
      <c r="T903" s="28"/>
      <c r="U903" s="7"/>
      <c r="V903" s="28"/>
      <c r="W903" s="28"/>
      <c r="X903" s="2"/>
      <c r="Y903" s="2"/>
      <c r="Z903" s="2"/>
    </row>
    <row r="904" spans="1:26" ht="19.5" customHeight="1">
      <c r="A904" s="28"/>
      <c r="B904" s="28"/>
      <c r="C904" s="28"/>
      <c r="D904" s="29"/>
      <c r="E904" s="29"/>
      <c r="F904" s="28"/>
      <c r="G904" s="28"/>
      <c r="H904" s="28"/>
      <c r="I904" s="28"/>
      <c r="J904" s="28"/>
      <c r="K904" s="28"/>
      <c r="L904" s="28"/>
      <c r="M904" s="28"/>
      <c r="N904" s="28"/>
      <c r="O904" s="28"/>
      <c r="P904" s="28"/>
      <c r="Q904" s="28"/>
      <c r="R904" s="28"/>
      <c r="S904" s="28"/>
      <c r="T904" s="28"/>
      <c r="U904" s="7"/>
      <c r="V904" s="28"/>
      <c r="W904" s="28"/>
      <c r="X904" s="2"/>
      <c r="Y904" s="2"/>
      <c r="Z904" s="2"/>
    </row>
    <row r="905" spans="1:26" ht="19.5" customHeight="1">
      <c r="A905" s="28"/>
      <c r="B905" s="28"/>
      <c r="C905" s="28"/>
      <c r="D905" s="29"/>
      <c r="E905" s="29"/>
      <c r="F905" s="28"/>
      <c r="G905" s="28"/>
      <c r="H905" s="28"/>
      <c r="I905" s="28"/>
      <c r="J905" s="28"/>
      <c r="K905" s="28"/>
      <c r="L905" s="28"/>
      <c r="M905" s="28"/>
      <c r="N905" s="28"/>
      <c r="O905" s="28"/>
      <c r="P905" s="28"/>
      <c r="Q905" s="28"/>
      <c r="R905" s="28"/>
      <c r="S905" s="28"/>
      <c r="T905" s="28"/>
      <c r="U905" s="7"/>
      <c r="V905" s="28"/>
      <c r="W905" s="28"/>
      <c r="X905" s="2"/>
      <c r="Y905" s="2"/>
      <c r="Z905" s="2"/>
    </row>
    <row r="906" spans="1:26" ht="19.5" customHeight="1">
      <c r="A906" s="28"/>
      <c r="B906" s="28"/>
      <c r="C906" s="28"/>
      <c r="D906" s="29"/>
      <c r="E906" s="29"/>
      <c r="F906" s="28"/>
      <c r="G906" s="28"/>
      <c r="H906" s="28"/>
      <c r="I906" s="28"/>
      <c r="J906" s="28"/>
      <c r="K906" s="28"/>
      <c r="L906" s="28"/>
      <c r="M906" s="28"/>
      <c r="N906" s="28"/>
      <c r="O906" s="28"/>
      <c r="P906" s="28"/>
      <c r="Q906" s="28"/>
      <c r="R906" s="28"/>
      <c r="S906" s="28"/>
      <c r="T906" s="28"/>
      <c r="U906" s="7"/>
      <c r="V906" s="28"/>
      <c r="W906" s="28"/>
      <c r="X906" s="2"/>
      <c r="Y906" s="2"/>
      <c r="Z906" s="2"/>
    </row>
    <row r="907" spans="1:26" ht="19.5" customHeight="1">
      <c r="A907" s="28"/>
      <c r="B907" s="28"/>
      <c r="C907" s="28"/>
      <c r="D907" s="29"/>
      <c r="E907" s="29"/>
      <c r="F907" s="28"/>
      <c r="G907" s="28"/>
      <c r="H907" s="28"/>
      <c r="I907" s="28"/>
      <c r="J907" s="28"/>
      <c r="K907" s="28"/>
      <c r="L907" s="28"/>
      <c r="M907" s="28"/>
      <c r="N907" s="28"/>
      <c r="O907" s="28"/>
      <c r="P907" s="28"/>
      <c r="Q907" s="28"/>
      <c r="R907" s="28"/>
      <c r="S907" s="28"/>
      <c r="T907" s="28"/>
      <c r="U907" s="7"/>
      <c r="V907" s="28"/>
      <c r="W907" s="28"/>
      <c r="X907" s="2"/>
      <c r="Y907" s="2"/>
      <c r="Z907" s="2"/>
    </row>
    <row r="908" spans="1:26" ht="19.5" customHeight="1">
      <c r="A908" s="28"/>
      <c r="B908" s="28"/>
      <c r="C908" s="28"/>
      <c r="D908" s="29"/>
      <c r="E908" s="29"/>
      <c r="F908" s="28"/>
      <c r="G908" s="28"/>
      <c r="H908" s="28"/>
      <c r="I908" s="28"/>
      <c r="J908" s="28"/>
      <c r="K908" s="28"/>
      <c r="L908" s="28"/>
      <c r="M908" s="28"/>
      <c r="N908" s="28"/>
      <c r="O908" s="28"/>
      <c r="P908" s="28"/>
      <c r="Q908" s="28"/>
      <c r="R908" s="28"/>
      <c r="S908" s="28"/>
      <c r="T908" s="28"/>
      <c r="U908" s="7"/>
      <c r="V908" s="28"/>
      <c r="W908" s="28"/>
      <c r="X908" s="2"/>
      <c r="Y908" s="2"/>
      <c r="Z908" s="2"/>
    </row>
    <row r="909" spans="1:26" ht="19.5" customHeight="1">
      <c r="A909" s="28"/>
      <c r="B909" s="28"/>
      <c r="C909" s="28"/>
      <c r="D909" s="29"/>
      <c r="E909" s="29"/>
      <c r="F909" s="28"/>
      <c r="G909" s="28"/>
      <c r="H909" s="28"/>
      <c r="I909" s="28"/>
      <c r="J909" s="28"/>
      <c r="K909" s="28"/>
      <c r="L909" s="28"/>
      <c r="M909" s="28"/>
      <c r="N909" s="28"/>
      <c r="O909" s="28"/>
      <c r="P909" s="28"/>
      <c r="Q909" s="28"/>
      <c r="R909" s="28"/>
      <c r="S909" s="28"/>
      <c r="T909" s="28"/>
      <c r="U909" s="7"/>
      <c r="V909" s="28"/>
      <c r="W909" s="28"/>
      <c r="X909" s="2"/>
      <c r="Y909" s="2"/>
      <c r="Z909" s="2"/>
    </row>
    <row r="910" spans="1:26" ht="19.5" customHeight="1">
      <c r="A910" s="28"/>
      <c r="B910" s="28"/>
      <c r="C910" s="28"/>
      <c r="D910" s="29"/>
      <c r="E910" s="29"/>
      <c r="F910" s="28"/>
      <c r="G910" s="28"/>
      <c r="H910" s="28"/>
      <c r="I910" s="28"/>
      <c r="J910" s="28"/>
      <c r="K910" s="28"/>
      <c r="L910" s="28"/>
      <c r="M910" s="28"/>
      <c r="N910" s="28"/>
      <c r="O910" s="28"/>
      <c r="P910" s="28"/>
      <c r="Q910" s="28"/>
      <c r="R910" s="28"/>
      <c r="S910" s="28"/>
      <c r="T910" s="28"/>
      <c r="U910" s="7"/>
      <c r="V910" s="28"/>
      <c r="W910" s="28"/>
      <c r="X910" s="2"/>
      <c r="Y910" s="2"/>
      <c r="Z910" s="2"/>
    </row>
    <row r="911" spans="1:26" ht="19.5" customHeight="1">
      <c r="A911" s="28"/>
      <c r="B911" s="28"/>
      <c r="C911" s="28"/>
      <c r="D911" s="29"/>
      <c r="E911" s="29"/>
      <c r="F911" s="28"/>
      <c r="G911" s="28"/>
      <c r="H911" s="28"/>
      <c r="I911" s="28"/>
      <c r="J911" s="28"/>
      <c r="K911" s="28"/>
      <c r="L911" s="28"/>
      <c r="M911" s="28"/>
      <c r="N911" s="28"/>
      <c r="O911" s="28"/>
      <c r="P911" s="28"/>
      <c r="Q911" s="28"/>
      <c r="R911" s="28"/>
      <c r="S911" s="28"/>
      <c r="T911" s="28"/>
      <c r="U911" s="7"/>
      <c r="V911" s="28"/>
      <c r="W911" s="28"/>
      <c r="X911" s="2"/>
      <c r="Y911" s="2"/>
      <c r="Z911" s="2"/>
    </row>
    <row r="912" spans="1:26" ht="19.5" customHeight="1">
      <c r="A912" s="28"/>
      <c r="B912" s="28"/>
      <c r="C912" s="28"/>
      <c r="D912" s="29"/>
      <c r="E912" s="29"/>
      <c r="F912" s="28"/>
      <c r="G912" s="28"/>
      <c r="H912" s="28"/>
      <c r="I912" s="28"/>
      <c r="J912" s="28"/>
      <c r="K912" s="28"/>
      <c r="L912" s="28"/>
      <c r="M912" s="28"/>
      <c r="N912" s="28"/>
      <c r="O912" s="28"/>
      <c r="P912" s="28"/>
      <c r="Q912" s="28"/>
      <c r="R912" s="28"/>
      <c r="S912" s="28"/>
      <c r="T912" s="28"/>
      <c r="U912" s="7"/>
      <c r="V912" s="28"/>
      <c r="W912" s="28"/>
      <c r="X912" s="2"/>
      <c r="Y912" s="2"/>
      <c r="Z912" s="2"/>
    </row>
    <row r="913" spans="1:26" ht="19.5" customHeight="1">
      <c r="A913" s="28"/>
      <c r="B913" s="28"/>
      <c r="C913" s="28"/>
      <c r="D913" s="29"/>
      <c r="E913" s="29"/>
      <c r="F913" s="28"/>
      <c r="G913" s="28"/>
      <c r="H913" s="28"/>
      <c r="I913" s="28"/>
      <c r="J913" s="28"/>
      <c r="K913" s="28"/>
      <c r="L913" s="28"/>
      <c r="M913" s="28"/>
      <c r="N913" s="28"/>
      <c r="O913" s="28"/>
      <c r="P913" s="28"/>
      <c r="Q913" s="28"/>
      <c r="R913" s="28"/>
      <c r="S913" s="28"/>
      <c r="T913" s="28"/>
      <c r="U913" s="7"/>
      <c r="V913" s="28"/>
      <c r="W913" s="28"/>
      <c r="X913" s="2"/>
      <c r="Y913" s="2"/>
      <c r="Z913" s="2"/>
    </row>
    <row r="914" spans="1:26" ht="19.5" customHeight="1">
      <c r="A914" s="28"/>
      <c r="B914" s="28"/>
      <c r="C914" s="28"/>
      <c r="D914" s="29"/>
      <c r="E914" s="29"/>
      <c r="F914" s="28"/>
      <c r="G914" s="28"/>
      <c r="H914" s="28"/>
      <c r="I914" s="28"/>
      <c r="J914" s="28"/>
      <c r="K914" s="28"/>
      <c r="L914" s="28"/>
      <c r="M914" s="28"/>
      <c r="N914" s="28"/>
      <c r="O914" s="28"/>
      <c r="P914" s="28"/>
      <c r="Q914" s="28"/>
      <c r="R914" s="28"/>
      <c r="S914" s="28"/>
      <c r="T914" s="28"/>
      <c r="U914" s="7"/>
      <c r="V914" s="28"/>
      <c r="W914" s="28"/>
      <c r="X914" s="2"/>
      <c r="Y914" s="2"/>
      <c r="Z914" s="2"/>
    </row>
    <row r="915" spans="1:26" ht="19.5" customHeight="1">
      <c r="A915" s="28"/>
      <c r="B915" s="28"/>
      <c r="C915" s="28"/>
      <c r="D915" s="29"/>
      <c r="E915" s="29"/>
      <c r="F915" s="28"/>
      <c r="G915" s="28"/>
      <c r="H915" s="28"/>
      <c r="I915" s="28"/>
      <c r="J915" s="28"/>
      <c r="K915" s="28"/>
      <c r="L915" s="28"/>
      <c r="M915" s="28"/>
      <c r="N915" s="28"/>
      <c r="O915" s="28"/>
      <c r="P915" s="28"/>
      <c r="Q915" s="28"/>
      <c r="R915" s="28"/>
      <c r="S915" s="28"/>
      <c r="T915" s="28"/>
      <c r="U915" s="7"/>
      <c r="V915" s="28"/>
      <c r="W915" s="28"/>
      <c r="X915" s="2"/>
      <c r="Y915" s="2"/>
      <c r="Z915" s="2"/>
    </row>
    <row r="916" spans="1:26" ht="19.5" customHeight="1">
      <c r="A916" s="28"/>
      <c r="B916" s="28"/>
      <c r="C916" s="28"/>
      <c r="D916" s="29"/>
      <c r="E916" s="29"/>
      <c r="F916" s="28"/>
      <c r="G916" s="28"/>
      <c r="H916" s="28"/>
      <c r="I916" s="28"/>
      <c r="J916" s="28"/>
      <c r="K916" s="28"/>
      <c r="L916" s="28"/>
      <c r="M916" s="28"/>
      <c r="N916" s="28"/>
      <c r="O916" s="28"/>
      <c r="P916" s="28"/>
      <c r="Q916" s="28"/>
      <c r="R916" s="28"/>
      <c r="S916" s="28"/>
      <c r="T916" s="28"/>
      <c r="U916" s="7"/>
      <c r="V916" s="28"/>
      <c r="W916" s="28"/>
      <c r="X916" s="2"/>
      <c r="Y916" s="2"/>
      <c r="Z916" s="2"/>
    </row>
    <row r="917" spans="1:26" ht="19.5" customHeight="1">
      <c r="A917" s="28"/>
      <c r="B917" s="28"/>
      <c r="C917" s="28"/>
      <c r="D917" s="29"/>
      <c r="E917" s="29"/>
      <c r="F917" s="28"/>
      <c r="G917" s="28"/>
      <c r="H917" s="28"/>
      <c r="I917" s="28"/>
      <c r="J917" s="28"/>
      <c r="K917" s="28"/>
      <c r="L917" s="28"/>
      <c r="M917" s="28"/>
      <c r="N917" s="28"/>
      <c r="O917" s="28"/>
      <c r="P917" s="28"/>
      <c r="Q917" s="28"/>
      <c r="R917" s="28"/>
      <c r="S917" s="28"/>
      <c r="T917" s="28"/>
      <c r="U917" s="7"/>
      <c r="V917" s="28"/>
      <c r="W917" s="28"/>
      <c r="X917" s="2"/>
      <c r="Y917" s="2"/>
      <c r="Z917" s="2"/>
    </row>
    <row r="918" spans="1:26" ht="19.5" customHeight="1">
      <c r="A918" s="28"/>
      <c r="B918" s="28"/>
      <c r="C918" s="28"/>
      <c r="D918" s="29"/>
      <c r="E918" s="29"/>
      <c r="F918" s="28"/>
      <c r="G918" s="28"/>
      <c r="H918" s="28"/>
      <c r="I918" s="28"/>
      <c r="J918" s="28"/>
      <c r="K918" s="28"/>
      <c r="L918" s="28"/>
      <c r="M918" s="28"/>
      <c r="N918" s="28"/>
      <c r="O918" s="28"/>
      <c r="P918" s="28"/>
      <c r="Q918" s="28"/>
      <c r="R918" s="28"/>
      <c r="S918" s="28"/>
      <c r="T918" s="28"/>
      <c r="U918" s="7"/>
      <c r="V918" s="28"/>
      <c r="W918" s="28"/>
      <c r="X918" s="2"/>
      <c r="Y918" s="2"/>
      <c r="Z918" s="2"/>
    </row>
    <row r="919" spans="1:26" ht="19.5" customHeight="1">
      <c r="A919" s="28"/>
      <c r="B919" s="28"/>
      <c r="C919" s="28"/>
      <c r="D919" s="29"/>
      <c r="E919" s="29"/>
      <c r="F919" s="28"/>
      <c r="G919" s="28"/>
      <c r="H919" s="28"/>
      <c r="I919" s="28"/>
      <c r="J919" s="28"/>
      <c r="K919" s="28"/>
      <c r="L919" s="28"/>
      <c r="M919" s="28"/>
      <c r="N919" s="28"/>
      <c r="O919" s="28"/>
      <c r="P919" s="28"/>
      <c r="Q919" s="28"/>
      <c r="R919" s="28"/>
      <c r="S919" s="28"/>
      <c r="T919" s="28"/>
      <c r="U919" s="7"/>
      <c r="V919" s="28"/>
      <c r="W919" s="28"/>
      <c r="X919" s="2"/>
      <c r="Y919" s="2"/>
      <c r="Z919" s="2"/>
    </row>
    <row r="920" spans="1:26" ht="19.5" customHeight="1">
      <c r="A920" s="28"/>
      <c r="B920" s="28"/>
      <c r="C920" s="28"/>
      <c r="D920" s="29"/>
      <c r="E920" s="29"/>
      <c r="F920" s="28"/>
      <c r="G920" s="28"/>
      <c r="H920" s="28"/>
      <c r="I920" s="28"/>
      <c r="J920" s="28"/>
      <c r="K920" s="28"/>
      <c r="L920" s="28"/>
      <c r="M920" s="28"/>
      <c r="N920" s="28"/>
      <c r="O920" s="28"/>
      <c r="P920" s="28"/>
      <c r="Q920" s="28"/>
      <c r="R920" s="28"/>
      <c r="S920" s="28"/>
      <c r="T920" s="28"/>
      <c r="U920" s="7"/>
      <c r="V920" s="28"/>
      <c r="W920" s="28"/>
      <c r="X920" s="2"/>
      <c r="Y920" s="2"/>
      <c r="Z920" s="2"/>
    </row>
    <row r="921" spans="1:26" ht="19.5" customHeight="1">
      <c r="A921" s="28"/>
      <c r="B921" s="28"/>
      <c r="C921" s="28"/>
      <c r="D921" s="29"/>
      <c r="E921" s="29"/>
      <c r="F921" s="28"/>
      <c r="G921" s="28"/>
      <c r="H921" s="28"/>
      <c r="I921" s="28"/>
      <c r="J921" s="28"/>
      <c r="K921" s="28"/>
      <c r="L921" s="28"/>
      <c r="M921" s="28"/>
      <c r="N921" s="28"/>
      <c r="O921" s="28"/>
      <c r="P921" s="28"/>
      <c r="Q921" s="28"/>
      <c r="R921" s="28"/>
      <c r="S921" s="28"/>
      <c r="T921" s="28"/>
      <c r="U921" s="7"/>
      <c r="V921" s="28"/>
      <c r="W921" s="28"/>
      <c r="X921" s="2"/>
      <c r="Y921" s="2"/>
      <c r="Z921" s="2"/>
    </row>
    <row r="922" spans="1:26" ht="19.5" customHeight="1">
      <c r="A922" s="28"/>
      <c r="B922" s="28"/>
      <c r="C922" s="28"/>
      <c r="D922" s="29"/>
      <c r="E922" s="29"/>
      <c r="F922" s="28"/>
      <c r="G922" s="28"/>
      <c r="H922" s="28"/>
      <c r="I922" s="28"/>
      <c r="J922" s="28"/>
      <c r="K922" s="28"/>
      <c r="L922" s="28"/>
      <c r="M922" s="28"/>
      <c r="N922" s="28"/>
      <c r="O922" s="28"/>
      <c r="P922" s="28"/>
      <c r="Q922" s="28"/>
      <c r="R922" s="28"/>
      <c r="S922" s="28"/>
      <c r="T922" s="28"/>
      <c r="U922" s="7"/>
      <c r="V922" s="28"/>
      <c r="W922" s="28"/>
      <c r="X922" s="2"/>
      <c r="Y922" s="2"/>
      <c r="Z922" s="2"/>
    </row>
    <row r="923" spans="1:26" ht="19.5" customHeight="1">
      <c r="A923" s="28"/>
      <c r="B923" s="28"/>
      <c r="C923" s="28"/>
      <c r="D923" s="29"/>
      <c r="E923" s="29"/>
      <c r="F923" s="28"/>
      <c r="G923" s="28"/>
      <c r="H923" s="28"/>
      <c r="I923" s="28"/>
      <c r="J923" s="28"/>
      <c r="K923" s="28"/>
      <c r="L923" s="28"/>
      <c r="M923" s="28"/>
      <c r="N923" s="28"/>
      <c r="O923" s="28"/>
      <c r="P923" s="28"/>
      <c r="Q923" s="28"/>
      <c r="R923" s="28"/>
      <c r="S923" s="28"/>
      <c r="T923" s="28"/>
      <c r="U923" s="7"/>
      <c r="V923" s="28"/>
      <c r="W923" s="28"/>
      <c r="X923" s="2"/>
      <c r="Y923" s="2"/>
      <c r="Z923" s="2"/>
    </row>
    <row r="924" spans="1:26" ht="19.5" customHeight="1">
      <c r="A924" s="28"/>
      <c r="B924" s="28"/>
      <c r="C924" s="28"/>
      <c r="D924" s="29"/>
      <c r="E924" s="29"/>
      <c r="F924" s="28"/>
      <c r="G924" s="28"/>
      <c r="H924" s="28"/>
      <c r="I924" s="28"/>
      <c r="J924" s="28"/>
      <c r="K924" s="28"/>
      <c r="L924" s="28"/>
      <c r="M924" s="28"/>
      <c r="N924" s="28"/>
      <c r="O924" s="28"/>
      <c r="P924" s="28"/>
      <c r="Q924" s="28"/>
      <c r="R924" s="28"/>
      <c r="S924" s="28"/>
      <c r="T924" s="28"/>
      <c r="U924" s="7"/>
      <c r="V924" s="28"/>
      <c r="W924" s="28"/>
      <c r="X924" s="2"/>
      <c r="Y924" s="2"/>
      <c r="Z924" s="2"/>
    </row>
    <row r="925" spans="1:26" ht="19.5" customHeight="1">
      <c r="A925" s="28"/>
      <c r="B925" s="28"/>
      <c r="C925" s="28"/>
      <c r="D925" s="29"/>
      <c r="E925" s="29"/>
      <c r="F925" s="28"/>
      <c r="G925" s="28"/>
      <c r="H925" s="28"/>
      <c r="I925" s="28"/>
      <c r="J925" s="28"/>
      <c r="K925" s="28"/>
      <c r="L925" s="28"/>
      <c r="M925" s="28"/>
      <c r="N925" s="28"/>
      <c r="O925" s="28"/>
      <c r="P925" s="28"/>
      <c r="Q925" s="28"/>
      <c r="R925" s="28"/>
      <c r="S925" s="28"/>
      <c r="T925" s="28"/>
      <c r="U925" s="7"/>
      <c r="V925" s="28"/>
      <c r="W925" s="28"/>
      <c r="X925" s="2"/>
      <c r="Y925" s="2"/>
      <c r="Z925" s="2"/>
    </row>
    <row r="926" spans="1:26" ht="19.5" customHeight="1">
      <c r="A926" s="28"/>
      <c r="B926" s="28"/>
      <c r="C926" s="28"/>
      <c r="D926" s="29"/>
      <c r="E926" s="29"/>
      <c r="F926" s="28"/>
      <c r="G926" s="28"/>
      <c r="H926" s="28"/>
      <c r="I926" s="28"/>
      <c r="J926" s="28"/>
      <c r="K926" s="28"/>
      <c r="L926" s="28"/>
      <c r="M926" s="28"/>
      <c r="N926" s="28"/>
      <c r="O926" s="28"/>
      <c r="P926" s="28"/>
      <c r="Q926" s="28"/>
      <c r="R926" s="28"/>
      <c r="S926" s="28"/>
      <c r="T926" s="28"/>
      <c r="U926" s="7"/>
      <c r="V926" s="28"/>
      <c r="W926" s="28"/>
      <c r="X926" s="2"/>
      <c r="Y926" s="2"/>
      <c r="Z926" s="2"/>
    </row>
    <row r="927" spans="1:26" ht="19.5" customHeight="1">
      <c r="A927" s="28"/>
      <c r="B927" s="28"/>
      <c r="C927" s="28"/>
      <c r="D927" s="29"/>
      <c r="E927" s="29"/>
      <c r="F927" s="28"/>
      <c r="G927" s="28"/>
      <c r="H927" s="28"/>
      <c r="I927" s="28"/>
      <c r="J927" s="28"/>
      <c r="K927" s="28"/>
      <c r="L927" s="28"/>
      <c r="M927" s="28"/>
      <c r="N927" s="28"/>
      <c r="O927" s="28"/>
      <c r="P927" s="28"/>
      <c r="Q927" s="28"/>
      <c r="R927" s="28"/>
      <c r="S927" s="28"/>
      <c r="T927" s="28"/>
      <c r="U927" s="7"/>
      <c r="V927" s="28"/>
      <c r="W927" s="28"/>
      <c r="X927" s="2"/>
      <c r="Y927" s="2"/>
      <c r="Z927" s="2"/>
    </row>
    <row r="928" spans="1:26" ht="19.5" customHeight="1">
      <c r="A928" s="28"/>
      <c r="B928" s="28"/>
      <c r="C928" s="28"/>
      <c r="D928" s="29"/>
      <c r="E928" s="29"/>
      <c r="F928" s="28"/>
      <c r="G928" s="28"/>
      <c r="H928" s="28"/>
      <c r="I928" s="28"/>
      <c r="J928" s="28"/>
      <c r="K928" s="28"/>
      <c r="L928" s="28"/>
      <c r="M928" s="28"/>
      <c r="N928" s="28"/>
      <c r="O928" s="28"/>
      <c r="P928" s="28"/>
      <c r="Q928" s="28"/>
      <c r="R928" s="28"/>
      <c r="S928" s="28"/>
      <c r="T928" s="28"/>
      <c r="U928" s="7"/>
      <c r="V928" s="28"/>
      <c r="W928" s="28"/>
      <c r="X928" s="2"/>
      <c r="Y928" s="2"/>
      <c r="Z928" s="2"/>
    </row>
    <row r="929" spans="1:26" ht="19.5" customHeight="1">
      <c r="A929" s="28"/>
      <c r="B929" s="28"/>
      <c r="C929" s="28"/>
      <c r="D929" s="29"/>
      <c r="E929" s="29"/>
      <c r="F929" s="28"/>
      <c r="G929" s="28"/>
      <c r="H929" s="28"/>
      <c r="I929" s="28"/>
      <c r="J929" s="28"/>
      <c r="K929" s="28"/>
      <c r="L929" s="28"/>
      <c r="M929" s="28"/>
      <c r="N929" s="28"/>
      <c r="O929" s="28"/>
      <c r="P929" s="28"/>
      <c r="Q929" s="28"/>
      <c r="R929" s="28"/>
      <c r="S929" s="28"/>
      <c r="T929" s="28"/>
      <c r="U929" s="7"/>
      <c r="V929" s="28"/>
      <c r="W929" s="28"/>
      <c r="X929" s="2"/>
      <c r="Y929" s="2"/>
      <c r="Z929" s="2"/>
    </row>
    <row r="930" spans="1:26" ht="19.5" customHeight="1">
      <c r="A930" s="28"/>
      <c r="B930" s="28"/>
      <c r="C930" s="28"/>
      <c r="D930" s="29"/>
      <c r="E930" s="29"/>
      <c r="F930" s="28"/>
      <c r="G930" s="28"/>
      <c r="H930" s="28"/>
      <c r="I930" s="28"/>
      <c r="J930" s="28"/>
      <c r="K930" s="28"/>
      <c r="L930" s="28"/>
      <c r="M930" s="28"/>
      <c r="N930" s="28"/>
      <c r="O930" s="28"/>
      <c r="P930" s="28"/>
      <c r="Q930" s="28"/>
      <c r="R930" s="28"/>
      <c r="S930" s="28"/>
      <c r="T930" s="28"/>
      <c r="U930" s="7"/>
      <c r="V930" s="28"/>
      <c r="W930" s="28"/>
      <c r="X930" s="2"/>
      <c r="Y930" s="2"/>
      <c r="Z930" s="2"/>
    </row>
    <row r="931" spans="1:26" ht="19.5" customHeight="1">
      <c r="A931" s="28"/>
      <c r="B931" s="28"/>
      <c r="C931" s="28"/>
      <c r="D931" s="29"/>
      <c r="E931" s="29"/>
      <c r="F931" s="28"/>
      <c r="G931" s="28"/>
      <c r="H931" s="28"/>
      <c r="I931" s="28"/>
      <c r="J931" s="28"/>
      <c r="K931" s="28"/>
      <c r="L931" s="28"/>
      <c r="M931" s="28"/>
      <c r="N931" s="28"/>
      <c r="O931" s="28"/>
      <c r="P931" s="28"/>
      <c r="Q931" s="28"/>
      <c r="R931" s="28"/>
      <c r="S931" s="28"/>
      <c r="T931" s="28"/>
      <c r="U931" s="7"/>
      <c r="V931" s="28"/>
      <c r="W931" s="28"/>
      <c r="X931" s="2"/>
      <c r="Y931" s="2"/>
      <c r="Z931" s="2"/>
    </row>
    <row r="932" spans="1:26" ht="19.5" customHeight="1">
      <c r="A932" s="28"/>
      <c r="B932" s="28"/>
      <c r="C932" s="28"/>
      <c r="D932" s="29"/>
      <c r="E932" s="29"/>
      <c r="F932" s="28"/>
      <c r="G932" s="28"/>
      <c r="H932" s="28"/>
      <c r="I932" s="28"/>
      <c r="J932" s="28"/>
      <c r="K932" s="28"/>
      <c r="L932" s="28"/>
      <c r="M932" s="28"/>
      <c r="N932" s="28"/>
      <c r="O932" s="28"/>
      <c r="P932" s="28"/>
      <c r="Q932" s="28"/>
      <c r="R932" s="28"/>
      <c r="S932" s="28"/>
      <c r="T932" s="28"/>
      <c r="U932" s="7"/>
      <c r="V932" s="28"/>
      <c r="W932" s="28"/>
      <c r="X932" s="2"/>
      <c r="Y932" s="2"/>
      <c r="Z932" s="2"/>
    </row>
    <row r="933" spans="1:26" ht="19.5" customHeight="1">
      <c r="A933" s="28"/>
      <c r="B933" s="28"/>
      <c r="C933" s="28"/>
      <c r="D933" s="29"/>
      <c r="E933" s="29"/>
      <c r="F933" s="28"/>
      <c r="G933" s="28"/>
      <c r="H933" s="28"/>
      <c r="I933" s="28"/>
      <c r="J933" s="28"/>
      <c r="K933" s="28"/>
      <c r="L933" s="28"/>
      <c r="M933" s="28"/>
      <c r="N933" s="28"/>
      <c r="O933" s="28"/>
      <c r="P933" s="28"/>
      <c r="Q933" s="28"/>
      <c r="R933" s="28"/>
      <c r="S933" s="28"/>
      <c r="T933" s="28"/>
      <c r="U933" s="7"/>
      <c r="V933" s="28"/>
      <c r="W933" s="28"/>
      <c r="X933" s="2"/>
      <c r="Y933" s="2"/>
      <c r="Z933" s="2"/>
    </row>
    <row r="934" spans="1:26" ht="19.5" customHeight="1">
      <c r="A934" s="28"/>
      <c r="B934" s="28"/>
      <c r="C934" s="28"/>
      <c r="D934" s="29"/>
      <c r="E934" s="29"/>
      <c r="F934" s="28"/>
      <c r="G934" s="28"/>
      <c r="H934" s="28"/>
      <c r="I934" s="28"/>
      <c r="J934" s="28"/>
      <c r="K934" s="28"/>
      <c r="L934" s="28"/>
      <c r="M934" s="28"/>
      <c r="N934" s="28"/>
      <c r="O934" s="28"/>
      <c r="P934" s="28"/>
      <c r="Q934" s="28"/>
      <c r="R934" s="28"/>
      <c r="S934" s="28"/>
      <c r="T934" s="28"/>
      <c r="U934" s="7"/>
      <c r="V934" s="28"/>
      <c r="W934" s="28"/>
      <c r="X934" s="2"/>
      <c r="Y934" s="2"/>
      <c r="Z934" s="2"/>
    </row>
    <row r="935" spans="1:26" ht="19.5" customHeight="1">
      <c r="A935" s="28"/>
      <c r="B935" s="28"/>
      <c r="C935" s="28"/>
      <c r="D935" s="29"/>
      <c r="E935" s="29"/>
      <c r="F935" s="28"/>
      <c r="G935" s="28"/>
      <c r="H935" s="28"/>
      <c r="I935" s="28"/>
      <c r="J935" s="28"/>
      <c r="K935" s="28"/>
      <c r="L935" s="28"/>
      <c r="M935" s="28"/>
      <c r="N935" s="28"/>
      <c r="O935" s="28"/>
      <c r="P935" s="28"/>
      <c r="Q935" s="28"/>
      <c r="R935" s="28"/>
      <c r="S935" s="28"/>
      <c r="T935" s="28"/>
      <c r="U935" s="7"/>
      <c r="V935" s="28"/>
      <c r="W935" s="28"/>
      <c r="X935" s="2"/>
      <c r="Y935" s="2"/>
      <c r="Z935" s="2"/>
    </row>
    <row r="936" spans="1:26" ht="19.5" customHeight="1">
      <c r="A936" s="28"/>
      <c r="B936" s="28"/>
      <c r="C936" s="28"/>
      <c r="D936" s="29"/>
      <c r="E936" s="29"/>
      <c r="F936" s="28"/>
      <c r="G936" s="28"/>
      <c r="H936" s="28"/>
      <c r="I936" s="28"/>
      <c r="J936" s="28"/>
      <c r="K936" s="28"/>
      <c r="L936" s="28"/>
      <c r="M936" s="28"/>
      <c r="N936" s="28"/>
      <c r="O936" s="28"/>
      <c r="P936" s="28"/>
      <c r="Q936" s="28"/>
      <c r="R936" s="28"/>
      <c r="S936" s="28"/>
      <c r="T936" s="28"/>
      <c r="U936" s="7"/>
      <c r="V936" s="28"/>
      <c r="W936" s="28"/>
      <c r="X936" s="2"/>
      <c r="Y936" s="2"/>
      <c r="Z936" s="2"/>
    </row>
    <row r="937" spans="1:26" ht="19.5" customHeight="1">
      <c r="A937" s="28"/>
      <c r="B937" s="28"/>
      <c r="C937" s="28"/>
      <c r="D937" s="29"/>
      <c r="E937" s="29"/>
      <c r="F937" s="28"/>
      <c r="G937" s="28"/>
      <c r="H937" s="28"/>
      <c r="I937" s="28"/>
      <c r="J937" s="28"/>
      <c r="K937" s="28"/>
      <c r="L937" s="28"/>
      <c r="M937" s="28"/>
      <c r="N937" s="28"/>
      <c r="O937" s="28"/>
      <c r="P937" s="28"/>
      <c r="Q937" s="28"/>
      <c r="R937" s="28"/>
      <c r="S937" s="28"/>
      <c r="T937" s="28"/>
      <c r="U937" s="7"/>
      <c r="V937" s="28"/>
      <c r="W937" s="28"/>
      <c r="X937" s="2"/>
      <c r="Y937" s="2"/>
      <c r="Z937" s="2"/>
    </row>
    <row r="938" spans="1:26" ht="19.5" customHeight="1">
      <c r="A938" s="28"/>
      <c r="B938" s="28"/>
      <c r="C938" s="28"/>
      <c r="D938" s="29"/>
      <c r="E938" s="29"/>
      <c r="F938" s="28"/>
      <c r="G938" s="28"/>
      <c r="H938" s="28"/>
      <c r="I938" s="28"/>
      <c r="J938" s="28"/>
      <c r="K938" s="28"/>
      <c r="L938" s="28"/>
      <c r="M938" s="28"/>
      <c r="N938" s="28"/>
      <c r="O938" s="28"/>
      <c r="P938" s="28"/>
      <c r="Q938" s="28"/>
      <c r="R938" s="28"/>
      <c r="S938" s="28"/>
      <c r="T938" s="28"/>
      <c r="U938" s="7"/>
      <c r="V938" s="28"/>
      <c r="W938" s="28"/>
      <c r="X938" s="2"/>
      <c r="Y938" s="2"/>
      <c r="Z938" s="2"/>
    </row>
    <row r="939" spans="1:26" ht="19.5" customHeight="1">
      <c r="A939" s="28"/>
      <c r="B939" s="28"/>
      <c r="C939" s="28"/>
      <c r="D939" s="29"/>
      <c r="E939" s="29"/>
      <c r="F939" s="28"/>
      <c r="G939" s="28"/>
      <c r="H939" s="28"/>
      <c r="I939" s="28"/>
      <c r="J939" s="28"/>
      <c r="K939" s="28"/>
      <c r="L939" s="28"/>
      <c r="M939" s="28"/>
      <c r="N939" s="28"/>
      <c r="O939" s="28"/>
      <c r="P939" s="28"/>
      <c r="Q939" s="28"/>
      <c r="R939" s="28"/>
      <c r="S939" s="28"/>
      <c r="T939" s="28"/>
      <c r="U939" s="7"/>
      <c r="V939" s="28"/>
      <c r="W939" s="28"/>
      <c r="X939" s="2"/>
      <c r="Y939" s="2"/>
      <c r="Z939" s="2"/>
    </row>
    <row r="940" spans="1:26" ht="19.5" customHeight="1">
      <c r="A940" s="28"/>
      <c r="B940" s="28"/>
      <c r="C940" s="28"/>
      <c r="D940" s="29"/>
      <c r="E940" s="29"/>
      <c r="F940" s="28"/>
      <c r="G940" s="28"/>
      <c r="H940" s="28"/>
      <c r="I940" s="28"/>
      <c r="J940" s="28"/>
      <c r="K940" s="28"/>
      <c r="L940" s="28"/>
      <c r="M940" s="28"/>
      <c r="N940" s="28"/>
      <c r="O940" s="28"/>
      <c r="P940" s="28"/>
      <c r="Q940" s="28"/>
      <c r="R940" s="28"/>
      <c r="S940" s="28"/>
      <c r="T940" s="28"/>
      <c r="U940" s="7"/>
      <c r="V940" s="28"/>
      <c r="W940" s="28"/>
      <c r="X940" s="2"/>
      <c r="Y940" s="2"/>
      <c r="Z940" s="2"/>
    </row>
    <row r="941" spans="1:26" ht="19.5" customHeight="1">
      <c r="A941" s="28"/>
      <c r="B941" s="28"/>
      <c r="C941" s="28"/>
      <c r="D941" s="29"/>
      <c r="E941" s="29"/>
      <c r="F941" s="28"/>
      <c r="G941" s="28"/>
      <c r="H941" s="28"/>
      <c r="I941" s="28"/>
      <c r="J941" s="28"/>
      <c r="K941" s="28"/>
      <c r="L941" s="28"/>
      <c r="M941" s="28"/>
      <c r="N941" s="28"/>
      <c r="O941" s="28"/>
      <c r="P941" s="28"/>
      <c r="Q941" s="28"/>
      <c r="R941" s="28"/>
      <c r="S941" s="28"/>
      <c r="T941" s="28"/>
      <c r="U941" s="7"/>
      <c r="V941" s="28"/>
      <c r="W941" s="28"/>
      <c r="X941" s="2"/>
      <c r="Y941" s="2"/>
      <c r="Z941" s="2"/>
    </row>
    <row r="942" spans="1:26" ht="19.5" customHeight="1">
      <c r="A942" s="28"/>
      <c r="B942" s="28"/>
      <c r="C942" s="28"/>
      <c r="D942" s="29"/>
      <c r="E942" s="29"/>
      <c r="F942" s="28"/>
      <c r="G942" s="28"/>
      <c r="H942" s="28"/>
      <c r="I942" s="28"/>
      <c r="J942" s="28"/>
      <c r="K942" s="28"/>
      <c r="L942" s="28"/>
      <c r="M942" s="28"/>
      <c r="N942" s="28"/>
      <c r="O942" s="28"/>
      <c r="P942" s="28"/>
      <c r="Q942" s="28"/>
      <c r="R942" s="28"/>
      <c r="S942" s="28"/>
      <c r="T942" s="28"/>
      <c r="U942" s="7"/>
      <c r="V942" s="28"/>
      <c r="W942" s="28"/>
      <c r="X942" s="2"/>
      <c r="Y942" s="2"/>
      <c r="Z942" s="2"/>
    </row>
    <row r="943" spans="1:26" ht="19.5" customHeight="1">
      <c r="A943" s="28"/>
      <c r="B943" s="28"/>
      <c r="C943" s="28"/>
      <c r="D943" s="29"/>
      <c r="E943" s="29"/>
      <c r="F943" s="28"/>
      <c r="G943" s="28"/>
      <c r="H943" s="28"/>
      <c r="I943" s="28"/>
      <c r="J943" s="28"/>
      <c r="K943" s="28"/>
      <c r="L943" s="28"/>
      <c r="M943" s="28"/>
      <c r="N943" s="28"/>
      <c r="O943" s="28"/>
      <c r="P943" s="28"/>
      <c r="Q943" s="28"/>
      <c r="R943" s="28"/>
      <c r="S943" s="28"/>
      <c r="T943" s="28"/>
      <c r="U943" s="7"/>
      <c r="V943" s="28"/>
      <c r="W943" s="28"/>
      <c r="X943" s="2"/>
      <c r="Y943" s="2"/>
      <c r="Z943" s="2"/>
    </row>
    <row r="944" spans="1:26" ht="19.5" customHeight="1">
      <c r="A944" s="28"/>
      <c r="B944" s="28"/>
      <c r="C944" s="28"/>
      <c r="D944" s="29"/>
      <c r="E944" s="29"/>
      <c r="F944" s="28"/>
      <c r="G944" s="28"/>
      <c r="H944" s="28"/>
      <c r="I944" s="28"/>
      <c r="J944" s="28"/>
      <c r="K944" s="28"/>
      <c r="L944" s="28"/>
      <c r="M944" s="28"/>
      <c r="N944" s="28"/>
      <c r="O944" s="28"/>
      <c r="P944" s="28"/>
      <c r="Q944" s="28"/>
      <c r="R944" s="28"/>
      <c r="S944" s="28"/>
      <c r="T944" s="28"/>
      <c r="U944" s="7"/>
      <c r="V944" s="28"/>
      <c r="W944" s="28"/>
      <c r="X944" s="2"/>
      <c r="Y944" s="2"/>
      <c r="Z944" s="2"/>
    </row>
    <row r="945" spans="1:26" ht="19.5" customHeight="1">
      <c r="A945" s="28"/>
      <c r="B945" s="28"/>
      <c r="C945" s="28"/>
      <c r="D945" s="29"/>
      <c r="E945" s="29"/>
      <c r="F945" s="28"/>
      <c r="G945" s="28"/>
      <c r="H945" s="28"/>
      <c r="I945" s="28"/>
      <c r="J945" s="28"/>
      <c r="K945" s="28"/>
      <c r="L945" s="28"/>
      <c r="M945" s="28"/>
      <c r="N945" s="28"/>
      <c r="O945" s="28"/>
      <c r="P945" s="28"/>
      <c r="Q945" s="28"/>
      <c r="R945" s="28"/>
      <c r="S945" s="28"/>
      <c r="T945" s="28"/>
      <c r="U945" s="7"/>
      <c r="V945" s="28"/>
      <c r="W945" s="28"/>
      <c r="X945" s="2"/>
      <c r="Y945" s="2"/>
      <c r="Z945" s="2"/>
    </row>
    <row r="946" spans="1:26" ht="19.5" customHeight="1">
      <c r="A946" s="28"/>
      <c r="B946" s="28"/>
      <c r="C946" s="28"/>
      <c r="D946" s="29"/>
      <c r="E946" s="29"/>
      <c r="F946" s="28"/>
      <c r="G946" s="28"/>
      <c r="H946" s="28"/>
      <c r="I946" s="28"/>
      <c r="J946" s="28"/>
      <c r="K946" s="28"/>
      <c r="L946" s="28"/>
      <c r="M946" s="28"/>
      <c r="N946" s="28"/>
      <c r="O946" s="28"/>
      <c r="P946" s="28"/>
      <c r="Q946" s="28"/>
      <c r="R946" s="28"/>
      <c r="S946" s="28"/>
      <c r="T946" s="28"/>
      <c r="U946" s="7"/>
      <c r="V946" s="28"/>
      <c r="W946" s="28"/>
      <c r="X946" s="2"/>
      <c r="Y946" s="2"/>
      <c r="Z946" s="2"/>
    </row>
    <row r="947" spans="1:26" ht="19.5" customHeight="1">
      <c r="A947" s="28"/>
      <c r="B947" s="28"/>
      <c r="C947" s="28"/>
      <c r="D947" s="29"/>
      <c r="E947" s="29"/>
      <c r="F947" s="28"/>
      <c r="G947" s="28"/>
      <c r="H947" s="28"/>
      <c r="I947" s="28"/>
      <c r="J947" s="28"/>
      <c r="K947" s="28"/>
      <c r="L947" s="28"/>
      <c r="M947" s="28"/>
      <c r="N947" s="28"/>
      <c r="O947" s="28"/>
      <c r="P947" s="28"/>
      <c r="Q947" s="28"/>
      <c r="R947" s="28"/>
      <c r="S947" s="28"/>
      <c r="T947" s="28"/>
      <c r="U947" s="7"/>
      <c r="V947" s="28"/>
      <c r="W947" s="28"/>
      <c r="X947" s="2"/>
      <c r="Y947" s="2"/>
      <c r="Z947" s="2"/>
    </row>
    <row r="948" spans="1:26" ht="19.5" customHeight="1">
      <c r="A948" s="28"/>
      <c r="B948" s="28"/>
      <c r="C948" s="28"/>
      <c r="D948" s="29"/>
      <c r="E948" s="29"/>
      <c r="F948" s="28"/>
      <c r="G948" s="28"/>
      <c r="H948" s="28"/>
      <c r="I948" s="28"/>
      <c r="J948" s="28"/>
      <c r="K948" s="28"/>
      <c r="L948" s="28"/>
      <c r="M948" s="28"/>
      <c r="N948" s="28"/>
      <c r="O948" s="28"/>
      <c r="P948" s="28"/>
      <c r="Q948" s="28"/>
      <c r="R948" s="28"/>
      <c r="S948" s="28"/>
      <c r="T948" s="28"/>
      <c r="U948" s="7"/>
      <c r="V948" s="28"/>
      <c r="W948" s="28"/>
      <c r="X948" s="2"/>
      <c r="Y948" s="2"/>
      <c r="Z948" s="2"/>
    </row>
    <row r="949" spans="1:26" ht="19.5" customHeight="1">
      <c r="A949" s="28"/>
      <c r="B949" s="28"/>
      <c r="C949" s="28"/>
      <c r="D949" s="29"/>
      <c r="E949" s="29"/>
      <c r="F949" s="28"/>
      <c r="G949" s="28"/>
      <c r="H949" s="28"/>
      <c r="I949" s="28"/>
      <c r="J949" s="28"/>
      <c r="K949" s="28"/>
      <c r="L949" s="28"/>
      <c r="M949" s="28"/>
      <c r="N949" s="28"/>
      <c r="O949" s="28"/>
      <c r="P949" s="28"/>
      <c r="Q949" s="28"/>
      <c r="R949" s="28"/>
      <c r="S949" s="28"/>
      <c r="T949" s="28"/>
      <c r="U949" s="7"/>
      <c r="V949" s="28"/>
      <c r="W949" s="28"/>
      <c r="X949" s="2"/>
      <c r="Y949" s="2"/>
      <c r="Z949" s="2"/>
    </row>
    <row r="950" spans="1:26" ht="19.5" customHeight="1">
      <c r="A950" s="28"/>
      <c r="B950" s="28"/>
      <c r="C950" s="28"/>
      <c r="D950" s="29"/>
      <c r="E950" s="29"/>
      <c r="F950" s="28"/>
      <c r="G950" s="28"/>
      <c r="H950" s="28"/>
      <c r="I950" s="28"/>
      <c r="J950" s="28"/>
      <c r="K950" s="28"/>
      <c r="L950" s="28"/>
      <c r="M950" s="28"/>
      <c r="N950" s="28"/>
      <c r="O950" s="28"/>
      <c r="P950" s="28"/>
      <c r="Q950" s="28"/>
      <c r="R950" s="28"/>
      <c r="S950" s="28"/>
      <c r="T950" s="28"/>
      <c r="U950" s="7"/>
      <c r="V950" s="28"/>
      <c r="W950" s="28"/>
      <c r="X950" s="2"/>
      <c r="Y950" s="2"/>
      <c r="Z950" s="2"/>
    </row>
    <row r="951" spans="1:26" ht="19.5" customHeight="1">
      <c r="A951" s="28"/>
      <c r="B951" s="28"/>
      <c r="C951" s="28"/>
      <c r="D951" s="29"/>
      <c r="E951" s="29"/>
      <c r="F951" s="28"/>
      <c r="G951" s="28"/>
      <c r="H951" s="28"/>
      <c r="I951" s="28"/>
      <c r="J951" s="28"/>
      <c r="K951" s="28"/>
      <c r="L951" s="28"/>
      <c r="M951" s="28"/>
      <c r="N951" s="28"/>
      <c r="O951" s="28"/>
      <c r="P951" s="28"/>
      <c r="Q951" s="28"/>
      <c r="R951" s="28"/>
      <c r="S951" s="28"/>
      <c r="T951" s="28"/>
      <c r="U951" s="7"/>
      <c r="V951" s="28"/>
      <c r="W951" s="28"/>
      <c r="X951" s="2"/>
      <c r="Y951" s="2"/>
      <c r="Z951" s="2"/>
    </row>
    <row r="952" spans="1:26" ht="19.5" customHeight="1">
      <c r="A952" s="28"/>
      <c r="B952" s="28"/>
      <c r="C952" s="28"/>
      <c r="D952" s="29"/>
      <c r="E952" s="29"/>
      <c r="F952" s="28"/>
      <c r="G952" s="28"/>
      <c r="H952" s="28"/>
      <c r="I952" s="28"/>
      <c r="J952" s="28"/>
      <c r="K952" s="28"/>
      <c r="L952" s="28"/>
      <c r="M952" s="28"/>
      <c r="N952" s="28"/>
      <c r="O952" s="28"/>
      <c r="P952" s="28"/>
      <c r="Q952" s="28"/>
      <c r="R952" s="28"/>
      <c r="S952" s="28"/>
      <c r="T952" s="28"/>
      <c r="U952" s="7"/>
      <c r="V952" s="28"/>
      <c r="W952" s="28"/>
      <c r="X952" s="2"/>
      <c r="Y952" s="2"/>
      <c r="Z952" s="2"/>
    </row>
    <row r="953" spans="1:26" ht="19.5" customHeight="1">
      <c r="A953" s="28"/>
      <c r="B953" s="28"/>
      <c r="C953" s="28"/>
      <c r="D953" s="29"/>
      <c r="E953" s="29"/>
      <c r="F953" s="28"/>
      <c r="G953" s="28"/>
      <c r="H953" s="28"/>
      <c r="I953" s="28"/>
      <c r="J953" s="28"/>
      <c r="K953" s="28"/>
      <c r="L953" s="28"/>
      <c r="M953" s="28"/>
      <c r="N953" s="28"/>
      <c r="O953" s="28"/>
      <c r="P953" s="28"/>
      <c r="Q953" s="28"/>
      <c r="R953" s="28"/>
      <c r="S953" s="28"/>
      <c r="T953" s="28"/>
      <c r="U953" s="7"/>
      <c r="V953" s="28"/>
      <c r="W953" s="28"/>
      <c r="X953" s="2"/>
      <c r="Y953" s="2"/>
      <c r="Z953" s="2"/>
    </row>
    <row r="954" spans="1:26" ht="19.5" customHeight="1">
      <c r="A954" s="28"/>
      <c r="B954" s="28"/>
      <c r="C954" s="28"/>
      <c r="D954" s="29"/>
      <c r="E954" s="29"/>
      <c r="F954" s="28"/>
      <c r="G954" s="28"/>
      <c r="H954" s="28"/>
      <c r="I954" s="28"/>
      <c r="J954" s="28"/>
      <c r="K954" s="28"/>
      <c r="L954" s="28"/>
      <c r="M954" s="28"/>
      <c r="N954" s="28"/>
      <c r="O954" s="28"/>
      <c r="P954" s="28"/>
      <c r="Q954" s="28"/>
      <c r="R954" s="28"/>
      <c r="S954" s="28"/>
      <c r="T954" s="28"/>
      <c r="U954" s="7"/>
      <c r="V954" s="28"/>
      <c r="W954" s="28"/>
      <c r="X954" s="2"/>
      <c r="Y954" s="2"/>
      <c r="Z954" s="2"/>
    </row>
    <row r="955" spans="1:26" ht="19.5" customHeight="1">
      <c r="A955" s="28"/>
      <c r="B955" s="28"/>
      <c r="C955" s="28"/>
      <c r="D955" s="29"/>
      <c r="E955" s="29"/>
      <c r="F955" s="28"/>
      <c r="G955" s="28"/>
      <c r="H955" s="28"/>
      <c r="I955" s="28"/>
      <c r="J955" s="28"/>
      <c r="K955" s="28"/>
      <c r="L955" s="28"/>
      <c r="M955" s="28"/>
      <c r="N955" s="28"/>
      <c r="O955" s="28"/>
      <c r="P955" s="28"/>
      <c r="Q955" s="28"/>
      <c r="R955" s="28"/>
      <c r="S955" s="28"/>
      <c r="T955" s="28"/>
      <c r="U955" s="7"/>
      <c r="V955" s="28"/>
      <c r="W955" s="28"/>
      <c r="X955" s="2"/>
      <c r="Y955" s="2"/>
      <c r="Z955" s="2"/>
    </row>
    <row r="956" spans="1:26" ht="19.5" customHeight="1">
      <c r="A956" s="28"/>
      <c r="B956" s="28"/>
      <c r="C956" s="28"/>
      <c r="D956" s="29"/>
      <c r="E956" s="29"/>
      <c r="F956" s="28"/>
      <c r="G956" s="28"/>
      <c r="H956" s="28"/>
      <c r="I956" s="28"/>
      <c r="J956" s="28"/>
      <c r="K956" s="28"/>
      <c r="L956" s="28"/>
      <c r="M956" s="28"/>
      <c r="N956" s="28"/>
      <c r="O956" s="28"/>
      <c r="P956" s="28"/>
      <c r="Q956" s="28"/>
      <c r="R956" s="28"/>
      <c r="S956" s="28"/>
      <c r="T956" s="28"/>
      <c r="U956" s="7"/>
      <c r="V956" s="28"/>
      <c r="W956" s="28"/>
      <c r="X956" s="2"/>
      <c r="Y956" s="2"/>
      <c r="Z956" s="2"/>
    </row>
    <row r="957" spans="1:26" ht="19.5" customHeight="1">
      <c r="A957" s="28"/>
      <c r="B957" s="28"/>
      <c r="C957" s="28"/>
      <c r="D957" s="29"/>
      <c r="E957" s="29"/>
      <c r="F957" s="28"/>
      <c r="G957" s="28"/>
      <c r="H957" s="28"/>
      <c r="I957" s="28"/>
      <c r="J957" s="28"/>
      <c r="K957" s="28"/>
      <c r="L957" s="28"/>
      <c r="M957" s="28"/>
      <c r="N957" s="28"/>
      <c r="O957" s="28"/>
      <c r="P957" s="28"/>
      <c r="Q957" s="28"/>
      <c r="R957" s="28"/>
      <c r="S957" s="28"/>
      <c r="T957" s="28"/>
      <c r="U957" s="7"/>
      <c r="V957" s="28"/>
      <c r="W957" s="28"/>
      <c r="X957" s="2"/>
      <c r="Y957" s="2"/>
      <c r="Z957" s="2"/>
    </row>
    <row r="958" spans="1:26" ht="19.5" customHeight="1">
      <c r="A958" s="28"/>
      <c r="B958" s="28"/>
      <c r="C958" s="28"/>
      <c r="D958" s="29"/>
      <c r="E958" s="29"/>
      <c r="F958" s="28"/>
      <c r="G958" s="28"/>
      <c r="H958" s="28"/>
      <c r="I958" s="28"/>
      <c r="J958" s="28"/>
      <c r="K958" s="28"/>
      <c r="L958" s="28"/>
      <c r="M958" s="28"/>
      <c r="N958" s="28"/>
      <c r="O958" s="28"/>
      <c r="P958" s="28"/>
      <c r="Q958" s="28"/>
      <c r="R958" s="28"/>
      <c r="S958" s="28"/>
      <c r="T958" s="28"/>
      <c r="U958" s="7"/>
      <c r="V958" s="28"/>
      <c r="W958" s="28"/>
      <c r="X958" s="2"/>
      <c r="Y958" s="2"/>
      <c r="Z958" s="2"/>
    </row>
    <row r="959" spans="1:26" ht="19.5" customHeight="1">
      <c r="A959" s="28"/>
      <c r="B959" s="28"/>
      <c r="C959" s="28"/>
      <c r="D959" s="29"/>
      <c r="E959" s="29"/>
      <c r="F959" s="28"/>
      <c r="G959" s="28"/>
      <c r="H959" s="28"/>
      <c r="I959" s="28"/>
      <c r="J959" s="28"/>
      <c r="K959" s="28"/>
      <c r="L959" s="28"/>
      <c r="M959" s="28"/>
      <c r="N959" s="28"/>
      <c r="O959" s="28"/>
      <c r="P959" s="28"/>
      <c r="Q959" s="28"/>
      <c r="R959" s="28"/>
      <c r="S959" s="28"/>
      <c r="T959" s="28"/>
      <c r="U959" s="7"/>
      <c r="V959" s="28"/>
      <c r="W959" s="28"/>
      <c r="X959" s="2"/>
      <c r="Y959" s="2"/>
      <c r="Z959" s="2"/>
    </row>
    <row r="960" spans="1:26" ht="19.5" customHeight="1">
      <c r="A960" s="28"/>
      <c r="B960" s="28"/>
      <c r="C960" s="28"/>
      <c r="D960" s="29"/>
      <c r="E960" s="29"/>
      <c r="F960" s="28"/>
      <c r="G960" s="28"/>
      <c r="H960" s="28"/>
      <c r="I960" s="28"/>
      <c r="J960" s="28"/>
      <c r="K960" s="28"/>
      <c r="L960" s="28"/>
      <c r="M960" s="28"/>
      <c r="N960" s="28"/>
      <c r="O960" s="28"/>
      <c r="P960" s="28"/>
      <c r="Q960" s="28"/>
      <c r="R960" s="28"/>
      <c r="S960" s="28"/>
      <c r="T960" s="28"/>
      <c r="U960" s="7"/>
      <c r="V960" s="28"/>
      <c r="W960" s="28"/>
      <c r="X960" s="2"/>
      <c r="Y960" s="2"/>
      <c r="Z960" s="2"/>
    </row>
    <row r="961" spans="1:26" ht="19.5" customHeight="1">
      <c r="A961" s="28"/>
      <c r="B961" s="28"/>
      <c r="C961" s="28"/>
      <c r="D961" s="29"/>
      <c r="E961" s="29"/>
      <c r="F961" s="28"/>
      <c r="G961" s="28"/>
      <c r="H961" s="28"/>
      <c r="I961" s="28"/>
      <c r="J961" s="28"/>
      <c r="K961" s="28"/>
      <c r="L961" s="28"/>
      <c r="M961" s="28"/>
      <c r="N961" s="28"/>
      <c r="O961" s="28"/>
      <c r="P961" s="28"/>
      <c r="Q961" s="28"/>
      <c r="R961" s="28"/>
      <c r="S961" s="28"/>
      <c r="T961" s="28"/>
      <c r="U961" s="7"/>
      <c r="V961" s="28"/>
      <c r="W961" s="28"/>
      <c r="X961" s="2"/>
      <c r="Y961" s="2"/>
      <c r="Z961" s="2"/>
    </row>
    <row r="962" spans="1:26" ht="19.5" customHeight="1">
      <c r="A962" s="28"/>
      <c r="B962" s="28"/>
      <c r="C962" s="28"/>
      <c r="D962" s="29"/>
      <c r="E962" s="29"/>
      <c r="F962" s="28"/>
      <c r="G962" s="28"/>
      <c r="H962" s="28"/>
      <c r="I962" s="28"/>
      <c r="J962" s="28"/>
      <c r="K962" s="28"/>
      <c r="L962" s="28"/>
      <c r="M962" s="28"/>
      <c r="N962" s="28"/>
      <c r="O962" s="28"/>
      <c r="P962" s="28"/>
      <c r="Q962" s="28"/>
      <c r="R962" s="28"/>
      <c r="S962" s="28"/>
      <c r="T962" s="28"/>
      <c r="U962" s="7"/>
      <c r="V962" s="28"/>
      <c r="W962" s="28"/>
      <c r="X962" s="2"/>
      <c r="Y962" s="2"/>
      <c r="Z962" s="2"/>
    </row>
    <row r="963" spans="1:26" ht="19.5" customHeight="1">
      <c r="A963" s="28"/>
      <c r="B963" s="28"/>
      <c r="C963" s="28"/>
      <c r="D963" s="29"/>
      <c r="E963" s="29"/>
      <c r="F963" s="28"/>
      <c r="G963" s="28"/>
      <c r="H963" s="28"/>
      <c r="I963" s="28"/>
      <c r="J963" s="28"/>
      <c r="K963" s="28"/>
      <c r="L963" s="28"/>
      <c r="M963" s="28"/>
      <c r="N963" s="28"/>
      <c r="O963" s="28"/>
      <c r="P963" s="28"/>
      <c r="Q963" s="28"/>
      <c r="R963" s="28"/>
      <c r="S963" s="28"/>
      <c r="T963" s="28"/>
      <c r="U963" s="7"/>
      <c r="V963" s="28"/>
      <c r="W963" s="28"/>
      <c r="X963" s="2"/>
      <c r="Y963" s="2"/>
      <c r="Z963" s="2"/>
    </row>
    <row r="964" spans="1:26" ht="19.5" customHeight="1">
      <c r="A964" s="28"/>
      <c r="B964" s="28"/>
      <c r="C964" s="28"/>
      <c r="D964" s="29"/>
      <c r="E964" s="29"/>
      <c r="F964" s="28"/>
      <c r="G964" s="28"/>
      <c r="H964" s="28"/>
      <c r="I964" s="28"/>
      <c r="J964" s="28"/>
      <c r="K964" s="28"/>
      <c r="L964" s="28"/>
      <c r="M964" s="28"/>
      <c r="N964" s="28"/>
      <c r="O964" s="28"/>
      <c r="P964" s="28"/>
      <c r="Q964" s="28"/>
      <c r="R964" s="28"/>
      <c r="S964" s="28"/>
      <c r="T964" s="28"/>
      <c r="U964" s="7"/>
      <c r="V964" s="28"/>
      <c r="W964" s="28"/>
      <c r="X964" s="2"/>
      <c r="Y964" s="2"/>
      <c r="Z964" s="2"/>
    </row>
    <row r="965" spans="1:26" ht="19.5" customHeight="1">
      <c r="A965" s="28"/>
      <c r="B965" s="28"/>
      <c r="C965" s="28"/>
      <c r="D965" s="29"/>
      <c r="E965" s="29"/>
      <c r="F965" s="28"/>
      <c r="G965" s="28"/>
      <c r="H965" s="28"/>
      <c r="I965" s="28"/>
      <c r="J965" s="28"/>
      <c r="K965" s="28"/>
      <c r="L965" s="28"/>
      <c r="M965" s="28"/>
      <c r="N965" s="28"/>
      <c r="O965" s="28"/>
      <c r="P965" s="28"/>
      <c r="Q965" s="28"/>
      <c r="R965" s="28"/>
      <c r="S965" s="28"/>
      <c r="T965" s="28"/>
      <c r="U965" s="7"/>
      <c r="V965" s="28"/>
      <c r="W965" s="28"/>
      <c r="X965" s="2"/>
      <c r="Y965" s="2"/>
      <c r="Z965" s="2"/>
    </row>
    <row r="966" spans="1:26" ht="19.5" customHeight="1">
      <c r="A966" s="28"/>
      <c r="B966" s="28"/>
      <c r="C966" s="28"/>
      <c r="D966" s="29"/>
      <c r="E966" s="29"/>
      <c r="F966" s="28"/>
      <c r="G966" s="28"/>
      <c r="H966" s="28"/>
      <c r="I966" s="28"/>
      <c r="J966" s="28"/>
      <c r="K966" s="28"/>
      <c r="L966" s="28"/>
      <c r="M966" s="28"/>
      <c r="N966" s="28"/>
      <c r="O966" s="28"/>
      <c r="P966" s="28"/>
      <c r="Q966" s="28"/>
      <c r="R966" s="28"/>
      <c r="S966" s="28"/>
      <c r="T966" s="28"/>
      <c r="U966" s="7"/>
      <c r="V966" s="28"/>
      <c r="W966" s="28"/>
      <c r="X966" s="2"/>
      <c r="Y966" s="2"/>
      <c r="Z966" s="2"/>
    </row>
    <row r="967" spans="1:26" ht="19.5" customHeight="1">
      <c r="A967" s="28"/>
      <c r="B967" s="28"/>
      <c r="C967" s="28"/>
      <c r="D967" s="29"/>
      <c r="E967" s="29"/>
      <c r="F967" s="28"/>
      <c r="G967" s="28"/>
      <c r="H967" s="28"/>
      <c r="I967" s="28"/>
      <c r="J967" s="28"/>
      <c r="K967" s="28"/>
      <c r="L967" s="28"/>
      <c r="M967" s="28"/>
      <c r="N967" s="28"/>
      <c r="O967" s="28"/>
      <c r="P967" s="28"/>
      <c r="Q967" s="28"/>
      <c r="R967" s="28"/>
      <c r="S967" s="28"/>
      <c r="T967" s="28"/>
      <c r="U967" s="7"/>
      <c r="V967" s="28"/>
      <c r="W967" s="28"/>
      <c r="X967" s="2"/>
      <c r="Y967" s="2"/>
      <c r="Z967" s="2"/>
    </row>
    <row r="968" spans="1:26" ht="19.5" customHeight="1">
      <c r="A968" s="28"/>
      <c r="B968" s="28"/>
      <c r="C968" s="28"/>
      <c r="D968" s="29"/>
      <c r="E968" s="29"/>
      <c r="F968" s="28"/>
      <c r="G968" s="28"/>
      <c r="H968" s="28"/>
      <c r="I968" s="28"/>
      <c r="J968" s="28"/>
      <c r="K968" s="28"/>
      <c r="L968" s="28"/>
      <c r="M968" s="28"/>
      <c r="N968" s="28"/>
      <c r="O968" s="28"/>
      <c r="P968" s="28"/>
      <c r="Q968" s="28"/>
      <c r="R968" s="28"/>
      <c r="S968" s="28"/>
      <c r="T968" s="28"/>
      <c r="U968" s="7"/>
      <c r="V968" s="28"/>
      <c r="W968" s="28"/>
      <c r="X968" s="2"/>
      <c r="Y968" s="2"/>
      <c r="Z968" s="2"/>
    </row>
    <row r="969" spans="1:26" ht="19.5" customHeight="1">
      <c r="A969" s="28"/>
      <c r="B969" s="28"/>
      <c r="C969" s="28"/>
      <c r="D969" s="29"/>
      <c r="E969" s="29"/>
      <c r="F969" s="28"/>
      <c r="G969" s="28"/>
      <c r="H969" s="28"/>
      <c r="I969" s="28"/>
      <c r="J969" s="28"/>
      <c r="K969" s="28"/>
      <c r="L969" s="28"/>
      <c r="M969" s="28"/>
      <c r="N969" s="28"/>
      <c r="O969" s="28"/>
      <c r="P969" s="28"/>
      <c r="Q969" s="28"/>
      <c r="R969" s="28"/>
      <c r="S969" s="28"/>
      <c r="T969" s="28"/>
      <c r="U969" s="7"/>
      <c r="V969" s="28"/>
      <c r="W969" s="28"/>
      <c r="X969" s="2"/>
      <c r="Y969" s="2"/>
      <c r="Z969" s="2"/>
    </row>
    <row r="970" spans="1:26" ht="19.5" customHeight="1">
      <c r="A970" s="28"/>
      <c r="B970" s="28"/>
      <c r="C970" s="28"/>
      <c r="D970" s="29"/>
      <c r="E970" s="29"/>
      <c r="F970" s="28"/>
      <c r="G970" s="28"/>
      <c r="H970" s="28"/>
      <c r="I970" s="28"/>
      <c r="J970" s="28"/>
      <c r="K970" s="28"/>
      <c r="L970" s="28"/>
      <c r="M970" s="28"/>
      <c r="N970" s="28"/>
      <c r="O970" s="28"/>
      <c r="P970" s="28"/>
      <c r="Q970" s="28"/>
      <c r="R970" s="28"/>
      <c r="S970" s="28"/>
      <c r="T970" s="28"/>
      <c r="U970" s="7"/>
      <c r="V970" s="28"/>
      <c r="W970" s="28"/>
      <c r="X970" s="2"/>
      <c r="Y970" s="2"/>
      <c r="Z970" s="2"/>
    </row>
    <row r="971" spans="1:26" ht="19.5" customHeight="1">
      <c r="A971" s="28"/>
      <c r="B971" s="28"/>
      <c r="C971" s="28"/>
      <c r="D971" s="29"/>
      <c r="E971" s="29"/>
      <c r="F971" s="28"/>
      <c r="G971" s="28"/>
      <c r="H971" s="28"/>
      <c r="I971" s="28"/>
      <c r="J971" s="28"/>
      <c r="K971" s="28"/>
      <c r="L971" s="28"/>
      <c r="M971" s="28"/>
      <c r="N971" s="28"/>
      <c r="O971" s="28"/>
      <c r="P971" s="28"/>
      <c r="Q971" s="28"/>
      <c r="R971" s="28"/>
      <c r="S971" s="28"/>
      <c r="T971" s="28"/>
      <c r="U971" s="7"/>
      <c r="V971" s="28"/>
      <c r="W971" s="28"/>
      <c r="X971" s="2"/>
      <c r="Y971" s="2"/>
      <c r="Z971" s="2"/>
    </row>
    <row r="972" spans="1:26" ht="19.5" customHeight="1">
      <c r="A972" s="28"/>
      <c r="B972" s="28"/>
      <c r="C972" s="28"/>
      <c r="D972" s="29"/>
      <c r="E972" s="29"/>
      <c r="F972" s="28"/>
      <c r="G972" s="28"/>
      <c r="H972" s="28"/>
      <c r="I972" s="28"/>
      <c r="J972" s="28"/>
      <c r="K972" s="28"/>
      <c r="L972" s="28"/>
      <c r="M972" s="28"/>
      <c r="N972" s="28"/>
      <c r="O972" s="28"/>
      <c r="P972" s="28"/>
      <c r="Q972" s="28"/>
      <c r="R972" s="28"/>
      <c r="S972" s="28"/>
      <c r="T972" s="28"/>
      <c r="U972" s="7"/>
      <c r="V972" s="28"/>
      <c r="W972" s="28"/>
      <c r="X972" s="2"/>
      <c r="Y972" s="2"/>
      <c r="Z972" s="2"/>
    </row>
    <row r="973" spans="1:26" ht="19.5" customHeight="1">
      <c r="A973" s="28"/>
      <c r="B973" s="28"/>
      <c r="C973" s="28"/>
      <c r="D973" s="29"/>
      <c r="E973" s="29"/>
      <c r="F973" s="28"/>
      <c r="G973" s="28"/>
      <c r="H973" s="28"/>
      <c r="I973" s="28"/>
      <c r="J973" s="28"/>
      <c r="K973" s="28"/>
      <c r="L973" s="28"/>
      <c r="M973" s="28"/>
      <c r="N973" s="28"/>
      <c r="O973" s="28"/>
      <c r="P973" s="28"/>
      <c r="Q973" s="28"/>
      <c r="R973" s="28"/>
      <c r="S973" s="28"/>
      <c r="T973" s="28"/>
      <c r="U973" s="7"/>
      <c r="V973" s="28"/>
      <c r="W973" s="28"/>
      <c r="X973" s="2"/>
      <c r="Y973" s="2"/>
      <c r="Z973" s="2"/>
    </row>
    <row r="974" spans="1:26" ht="19.5" customHeight="1">
      <c r="A974" s="28"/>
      <c r="B974" s="28"/>
      <c r="C974" s="28"/>
      <c r="D974" s="29"/>
      <c r="E974" s="29"/>
      <c r="F974" s="28"/>
      <c r="G974" s="28"/>
      <c r="H974" s="28"/>
      <c r="I974" s="28"/>
      <c r="J974" s="28"/>
      <c r="K974" s="28"/>
      <c r="L974" s="28"/>
      <c r="M974" s="28"/>
      <c r="N974" s="28"/>
      <c r="O974" s="28"/>
      <c r="P974" s="28"/>
      <c r="Q974" s="28"/>
      <c r="R974" s="28"/>
      <c r="S974" s="28"/>
      <c r="T974" s="28"/>
      <c r="U974" s="7"/>
      <c r="V974" s="28"/>
      <c r="W974" s="28"/>
      <c r="X974" s="2"/>
      <c r="Y974" s="2"/>
      <c r="Z974" s="2"/>
    </row>
    <row r="975" spans="1:26" ht="19.5" customHeight="1">
      <c r="A975" s="28"/>
      <c r="B975" s="28"/>
      <c r="C975" s="28"/>
      <c r="D975" s="29"/>
      <c r="E975" s="29"/>
      <c r="F975" s="28"/>
      <c r="G975" s="28"/>
      <c r="H975" s="28"/>
      <c r="I975" s="28"/>
      <c r="J975" s="28"/>
      <c r="K975" s="28"/>
      <c r="L975" s="28"/>
      <c r="M975" s="28"/>
      <c r="N975" s="28"/>
      <c r="O975" s="28"/>
      <c r="P975" s="28"/>
      <c r="Q975" s="28"/>
      <c r="R975" s="28"/>
      <c r="S975" s="28"/>
      <c r="T975" s="28"/>
      <c r="U975" s="7"/>
      <c r="V975" s="28"/>
      <c r="W975" s="28"/>
      <c r="X975" s="2"/>
      <c r="Y975" s="2"/>
      <c r="Z975" s="2"/>
    </row>
    <row r="976" spans="1:26" ht="19.5" customHeight="1">
      <c r="A976" s="28"/>
      <c r="B976" s="28"/>
      <c r="C976" s="28"/>
      <c r="D976" s="29"/>
      <c r="E976" s="29"/>
      <c r="F976" s="28"/>
      <c r="G976" s="28"/>
      <c r="H976" s="28"/>
      <c r="I976" s="28"/>
      <c r="J976" s="28"/>
      <c r="K976" s="28"/>
      <c r="L976" s="28"/>
      <c r="M976" s="28"/>
      <c r="N976" s="28"/>
      <c r="O976" s="28"/>
      <c r="P976" s="28"/>
      <c r="Q976" s="28"/>
      <c r="R976" s="28"/>
      <c r="S976" s="28"/>
      <c r="T976" s="28"/>
      <c r="U976" s="7"/>
      <c r="V976" s="28"/>
      <c r="W976" s="28"/>
      <c r="X976" s="2"/>
      <c r="Y976" s="2"/>
      <c r="Z976" s="2"/>
    </row>
    <row r="977" spans="1:26" ht="19.5" customHeight="1">
      <c r="A977" s="28"/>
      <c r="B977" s="28"/>
      <c r="C977" s="28"/>
      <c r="D977" s="29"/>
      <c r="E977" s="29"/>
      <c r="F977" s="28"/>
      <c r="G977" s="28"/>
      <c r="H977" s="28"/>
      <c r="I977" s="28"/>
      <c r="J977" s="28"/>
      <c r="K977" s="28"/>
      <c r="L977" s="28"/>
      <c r="M977" s="28"/>
      <c r="N977" s="28"/>
      <c r="O977" s="28"/>
      <c r="P977" s="28"/>
      <c r="Q977" s="28"/>
      <c r="R977" s="28"/>
      <c r="S977" s="28"/>
      <c r="T977" s="28"/>
      <c r="U977" s="7"/>
      <c r="V977" s="28"/>
      <c r="W977" s="28"/>
      <c r="X977" s="2"/>
      <c r="Y977" s="2"/>
      <c r="Z977" s="2"/>
    </row>
    <row r="978" spans="1:26" ht="19.5" customHeight="1">
      <c r="A978" s="28"/>
      <c r="B978" s="28"/>
      <c r="C978" s="28"/>
      <c r="D978" s="29"/>
      <c r="E978" s="29"/>
      <c r="F978" s="28"/>
      <c r="G978" s="28"/>
      <c r="H978" s="28"/>
      <c r="I978" s="28"/>
      <c r="J978" s="28"/>
      <c r="K978" s="28"/>
      <c r="L978" s="28"/>
      <c r="M978" s="28"/>
      <c r="N978" s="28"/>
      <c r="O978" s="28"/>
      <c r="P978" s="28"/>
      <c r="Q978" s="28"/>
      <c r="R978" s="28"/>
      <c r="S978" s="28"/>
      <c r="T978" s="28"/>
      <c r="U978" s="7"/>
      <c r="V978" s="28"/>
      <c r="W978" s="28"/>
      <c r="X978" s="2"/>
      <c r="Y978" s="2"/>
      <c r="Z978" s="2"/>
    </row>
    <row r="979" spans="1:26" ht="19.5" customHeight="1">
      <c r="A979" s="28"/>
      <c r="B979" s="28"/>
      <c r="C979" s="28"/>
      <c r="D979" s="29"/>
      <c r="E979" s="29"/>
      <c r="F979" s="28"/>
      <c r="G979" s="28"/>
      <c r="H979" s="28"/>
      <c r="I979" s="28"/>
      <c r="J979" s="28"/>
      <c r="K979" s="28"/>
      <c r="L979" s="28"/>
      <c r="M979" s="28"/>
      <c r="N979" s="28"/>
      <c r="O979" s="28"/>
      <c r="P979" s="28"/>
      <c r="Q979" s="28"/>
      <c r="R979" s="28"/>
      <c r="S979" s="28"/>
      <c r="T979" s="28"/>
      <c r="U979" s="7"/>
      <c r="V979" s="28"/>
      <c r="W979" s="28"/>
      <c r="X979" s="2"/>
      <c r="Y979" s="2"/>
      <c r="Z979" s="2"/>
    </row>
    <row r="980" spans="1:26" ht="19.5" customHeight="1">
      <c r="A980" s="28"/>
      <c r="B980" s="28"/>
      <c r="C980" s="28"/>
      <c r="D980" s="29"/>
      <c r="E980" s="29"/>
      <c r="F980" s="28"/>
      <c r="G980" s="28"/>
      <c r="H980" s="28"/>
      <c r="I980" s="28"/>
      <c r="J980" s="28"/>
      <c r="K980" s="28"/>
      <c r="L980" s="28"/>
      <c r="M980" s="28"/>
      <c r="N980" s="28"/>
      <c r="O980" s="28"/>
      <c r="P980" s="28"/>
      <c r="Q980" s="28"/>
      <c r="R980" s="28"/>
      <c r="S980" s="28"/>
      <c r="T980" s="28"/>
      <c r="U980" s="7"/>
      <c r="V980" s="28"/>
      <c r="W980" s="28"/>
      <c r="X980" s="2"/>
      <c r="Y980" s="2"/>
      <c r="Z980" s="2"/>
    </row>
    <row r="981" spans="1:26" ht="19.5" customHeight="1">
      <c r="A981" s="28"/>
      <c r="B981" s="28"/>
      <c r="C981" s="28"/>
      <c r="D981" s="29"/>
      <c r="E981" s="29"/>
      <c r="F981" s="28"/>
      <c r="G981" s="28"/>
      <c r="H981" s="28"/>
      <c r="I981" s="28"/>
      <c r="J981" s="28"/>
      <c r="K981" s="28"/>
      <c r="L981" s="28"/>
      <c r="M981" s="28"/>
      <c r="N981" s="28"/>
      <c r="O981" s="28"/>
      <c r="P981" s="28"/>
      <c r="Q981" s="28"/>
      <c r="R981" s="28"/>
      <c r="S981" s="28"/>
      <c r="T981" s="28"/>
      <c r="U981" s="7"/>
      <c r="V981" s="28"/>
      <c r="W981" s="28"/>
      <c r="X981" s="2"/>
      <c r="Y981" s="2"/>
      <c r="Z981" s="2"/>
    </row>
    <row r="982" spans="1:26" ht="19.5" customHeight="1">
      <c r="A982" s="28"/>
      <c r="B982" s="28"/>
      <c r="C982" s="28"/>
      <c r="D982" s="29"/>
      <c r="E982" s="29"/>
      <c r="F982" s="28"/>
      <c r="G982" s="28"/>
      <c r="H982" s="28"/>
      <c r="I982" s="28"/>
      <c r="J982" s="28"/>
      <c r="K982" s="28"/>
      <c r="L982" s="28"/>
      <c r="M982" s="28"/>
      <c r="N982" s="28"/>
      <c r="O982" s="28"/>
      <c r="P982" s="28"/>
      <c r="Q982" s="28"/>
      <c r="R982" s="28"/>
      <c r="S982" s="28"/>
      <c r="T982" s="28"/>
      <c r="U982" s="7"/>
      <c r="V982" s="28"/>
      <c r="W982" s="28"/>
      <c r="X982" s="2"/>
      <c r="Y982" s="2"/>
      <c r="Z982" s="2"/>
    </row>
    <row r="983" spans="1:26" ht="19.5" customHeight="1">
      <c r="A983" s="28"/>
      <c r="B983" s="28"/>
      <c r="C983" s="28"/>
      <c r="D983" s="29"/>
      <c r="E983" s="29"/>
      <c r="F983" s="28"/>
      <c r="G983" s="28"/>
      <c r="H983" s="28"/>
      <c r="I983" s="28"/>
      <c r="J983" s="28"/>
      <c r="K983" s="28"/>
      <c r="L983" s="28"/>
      <c r="M983" s="28"/>
      <c r="N983" s="28"/>
      <c r="O983" s="28"/>
      <c r="P983" s="28"/>
      <c r="Q983" s="28"/>
      <c r="R983" s="28"/>
      <c r="S983" s="28"/>
      <c r="T983" s="28"/>
      <c r="U983" s="7"/>
      <c r="V983" s="28"/>
      <c r="W983" s="28"/>
      <c r="X983" s="2"/>
      <c r="Y983" s="2"/>
      <c r="Z983" s="2"/>
    </row>
    <row r="984" spans="1:26" ht="19.5" customHeight="1">
      <c r="A984" s="28"/>
      <c r="B984" s="28"/>
      <c r="C984" s="28"/>
      <c r="D984" s="29"/>
      <c r="E984" s="29"/>
      <c r="F984" s="28"/>
      <c r="G984" s="28"/>
      <c r="H984" s="28"/>
      <c r="I984" s="28"/>
      <c r="J984" s="28"/>
      <c r="K984" s="28"/>
      <c r="L984" s="28"/>
      <c r="M984" s="28"/>
      <c r="N984" s="28"/>
      <c r="O984" s="28"/>
      <c r="P984" s="28"/>
      <c r="Q984" s="28"/>
      <c r="R984" s="28"/>
      <c r="S984" s="28"/>
      <c r="T984" s="28"/>
      <c r="U984" s="7"/>
      <c r="V984" s="28"/>
      <c r="W984" s="28"/>
      <c r="X984" s="2"/>
      <c r="Y984" s="2"/>
      <c r="Z984" s="2"/>
    </row>
    <row r="985" spans="1:26" ht="19.5" customHeight="1">
      <c r="A985" s="28"/>
      <c r="B985" s="28"/>
      <c r="C985" s="28"/>
      <c r="D985" s="29"/>
      <c r="E985" s="29"/>
      <c r="F985" s="28"/>
      <c r="G985" s="28"/>
      <c r="H985" s="28"/>
      <c r="I985" s="28"/>
      <c r="J985" s="28"/>
      <c r="K985" s="28"/>
      <c r="L985" s="28"/>
      <c r="M985" s="28"/>
      <c r="N985" s="28"/>
      <c r="O985" s="28"/>
      <c r="P985" s="28"/>
      <c r="Q985" s="28"/>
      <c r="R985" s="28"/>
      <c r="S985" s="28"/>
      <c r="T985" s="28"/>
      <c r="U985" s="7"/>
      <c r="V985" s="28"/>
      <c r="W985" s="28"/>
      <c r="X985" s="2"/>
      <c r="Y985" s="2"/>
      <c r="Z985" s="2"/>
    </row>
    <row r="986" spans="1:26" ht="19.5" customHeight="1">
      <c r="A986" s="28"/>
      <c r="B986" s="28"/>
      <c r="C986" s="28"/>
      <c r="D986" s="29"/>
      <c r="E986" s="29"/>
      <c r="F986" s="28"/>
      <c r="G986" s="28"/>
      <c r="H986" s="28"/>
      <c r="I986" s="28"/>
      <c r="J986" s="28"/>
      <c r="K986" s="28"/>
      <c r="L986" s="28"/>
      <c r="M986" s="28"/>
      <c r="N986" s="28"/>
      <c r="O986" s="28"/>
      <c r="P986" s="28"/>
      <c r="Q986" s="28"/>
      <c r="R986" s="28"/>
      <c r="S986" s="28"/>
      <c r="T986" s="28"/>
      <c r="U986" s="7"/>
      <c r="V986" s="28"/>
      <c r="W986" s="28"/>
      <c r="X986" s="2"/>
      <c r="Y986" s="2"/>
      <c r="Z986" s="2"/>
    </row>
  </sheetData>
  <sortState xmlns:xlrd2="http://schemas.microsoft.com/office/spreadsheetml/2017/richdata2" ref="A154:CM157">
    <sortCondition ref="A154:A157"/>
  </sortState>
  <hyperlinks>
    <hyperlink ref="P3" r:id="rId1" xr:uid="{00000000-0004-0000-0000-000000000000}"/>
    <hyperlink ref="P4" r:id="rId2" xr:uid="{00000000-0004-0000-0000-000001000000}"/>
    <hyperlink ref="P6" r:id="rId3" xr:uid="{00000000-0004-0000-0000-000002000000}"/>
    <hyperlink ref="P7" r:id="rId4" xr:uid="{00000000-0004-0000-0000-000003000000}"/>
    <hyperlink ref="P8" r:id="rId5" xr:uid="{00000000-0004-0000-0000-000004000000}"/>
    <hyperlink ref="P10" r:id="rId6" xr:uid="{00000000-0004-0000-0000-000005000000}"/>
    <hyperlink ref="P11" r:id="rId7" xr:uid="{00000000-0004-0000-0000-000006000000}"/>
    <hyperlink ref="P12" r:id="rId8" xr:uid="{00000000-0004-0000-0000-000007000000}"/>
    <hyperlink ref="P13" r:id="rId9" xr:uid="{00000000-0004-0000-0000-000008000000}"/>
    <hyperlink ref="P14" r:id="rId10" xr:uid="{00000000-0004-0000-0000-000009000000}"/>
    <hyperlink ref="P15" r:id="rId11" xr:uid="{00000000-0004-0000-0000-00000A000000}"/>
    <hyperlink ref="P16" r:id="rId12" xr:uid="{00000000-0004-0000-0000-00000B000000}"/>
    <hyperlink ref="P17" r:id="rId13" xr:uid="{00000000-0004-0000-0000-00000C000000}"/>
    <hyperlink ref="P19" r:id="rId14" xr:uid="{00000000-0004-0000-0000-00000D000000}"/>
    <hyperlink ref="P20" r:id="rId15" xr:uid="{00000000-0004-0000-0000-00000E000000}"/>
    <hyperlink ref="P21" r:id="rId16" xr:uid="{00000000-0004-0000-0000-00000F000000}"/>
    <hyperlink ref="P22" r:id="rId17" xr:uid="{00000000-0004-0000-0000-000010000000}"/>
    <hyperlink ref="P23" r:id="rId18" xr:uid="{00000000-0004-0000-0000-000011000000}"/>
    <hyperlink ref="P24" r:id="rId19" xr:uid="{00000000-0004-0000-0000-000012000000}"/>
    <hyperlink ref="P25" r:id="rId20" xr:uid="{00000000-0004-0000-0000-000013000000}"/>
    <hyperlink ref="P26" r:id="rId21" xr:uid="{00000000-0004-0000-0000-000014000000}"/>
    <hyperlink ref="P27" r:id="rId22" xr:uid="{00000000-0004-0000-0000-000015000000}"/>
    <hyperlink ref="P28" r:id="rId23" xr:uid="{00000000-0004-0000-0000-000016000000}"/>
    <hyperlink ref="P29" r:id="rId24" xr:uid="{00000000-0004-0000-0000-000017000000}"/>
    <hyperlink ref="P30" r:id="rId25" xr:uid="{00000000-0004-0000-0000-000018000000}"/>
    <hyperlink ref="P31" r:id="rId26" xr:uid="{00000000-0004-0000-0000-000019000000}"/>
    <hyperlink ref="P32" r:id="rId27" xr:uid="{00000000-0004-0000-0000-00001A000000}"/>
    <hyperlink ref="P33" r:id="rId28" xr:uid="{00000000-0004-0000-0000-00001B000000}"/>
    <hyperlink ref="S33" r:id="rId29" xr:uid="{00000000-0004-0000-0000-00001C000000}"/>
    <hyperlink ref="P34" r:id="rId30" xr:uid="{00000000-0004-0000-0000-00001D000000}"/>
    <hyperlink ref="P35" r:id="rId31" xr:uid="{00000000-0004-0000-0000-00001E000000}"/>
    <hyperlink ref="P36" r:id="rId32" xr:uid="{00000000-0004-0000-0000-00001F000000}"/>
    <hyperlink ref="P37" r:id="rId33" xr:uid="{00000000-0004-0000-0000-000020000000}"/>
    <hyperlink ref="P38" r:id="rId34" xr:uid="{00000000-0004-0000-0000-000021000000}"/>
    <hyperlink ref="P39" r:id="rId35" xr:uid="{00000000-0004-0000-0000-000022000000}"/>
    <hyperlink ref="P40" r:id="rId36" xr:uid="{00000000-0004-0000-0000-000023000000}"/>
    <hyperlink ref="S40" r:id="rId37" xr:uid="{00000000-0004-0000-0000-000024000000}"/>
    <hyperlink ref="P42" r:id="rId38" xr:uid="{00000000-0004-0000-0000-000025000000}"/>
    <hyperlink ref="P43" r:id="rId39" xr:uid="{00000000-0004-0000-0000-000026000000}"/>
    <hyperlink ref="P45" r:id="rId40" xr:uid="{00000000-0004-0000-0000-000027000000}"/>
    <hyperlink ref="P47" r:id="rId41" xr:uid="{00000000-0004-0000-0000-000028000000}"/>
    <hyperlink ref="P49" r:id="rId42" xr:uid="{00000000-0004-0000-0000-000029000000}"/>
    <hyperlink ref="P50" r:id="rId43" xr:uid="{00000000-0004-0000-0000-00002A000000}"/>
    <hyperlink ref="P51" r:id="rId44" xr:uid="{00000000-0004-0000-0000-00002B000000}"/>
    <hyperlink ref="P53" r:id="rId45" xr:uid="{00000000-0004-0000-0000-00002C000000}"/>
    <hyperlink ref="P54" r:id="rId46" xr:uid="{00000000-0004-0000-0000-00002D000000}"/>
    <hyperlink ref="P55" r:id="rId47" xr:uid="{00000000-0004-0000-0000-00002E000000}"/>
    <hyperlink ref="P56" r:id="rId48" xr:uid="{00000000-0004-0000-0000-00002F000000}"/>
    <hyperlink ref="P57" r:id="rId49" xr:uid="{00000000-0004-0000-0000-000030000000}"/>
    <hyperlink ref="P58" r:id="rId50" xr:uid="{00000000-0004-0000-0000-000031000000}"/>
    <hyperlink ref="P59" r:id="rId51" xr:uid="{00000000-0004-0000-0000-000032000000}"/>
    <hyperlink ref="P60" r:id="rId52" xr:uid="{00000000-0004-0000-0000-000033000000}"/>
    <hyperlink ref="P61" r:id="rId53" xr:uid="{00000000-0004-0000-0000-000034000000}"/>
    <hyperlink ref="P62" r:id="rId54" xr:uid="{00000000-0004-0000-0000-000035000000}"/>
    <hyperlink ref="P63" r:id="rId55" xr:uid="{00000000-0004-0000-0000-000036000000}"/>
    <hyperlink ref="P64" r:id="rId56" xr:uid="{00000000-0004-0000-0000-000037000000}"/>
    <hyperlink ref="P65" r:id="rId57" xr:uid="{00000000-0004-0000-0000-000038000000}"/>
    <hyperlink ref="P66" r:id="rId58" xr:uid="{00000000-0004-0000-0000-000039000000}"/>
    <hyperlink ref="P67" r:id="rId59" xr:uid="{00000000-0004-0000-0000-00003A000000}"/>
    <hyperlink ref="P68" r:id="rId60" xr:uid="{00000000-0004-0000-0000-00003B000000}"/>
    <hyperlink ref="P70" r:id="rId61" xr:uid="{00000000-0004-0000-0000-00003C000000}"/>
    <hyperlink ref="P72" r:id="rId62" xr:uid="{00000000-0004-0000-0000-00003D000000}"/>
    <hyperlink ref="P75" r:id="rId63" xr:uid="{00000000-0004-0000-0000-00003E000000}"/>
    <hyperlink ref="P77" r:id="rId64" xr:uid="{00000000-0004-0000-0000-00003F000000}"/>
    <hyperlink ref="P78" r:id="rId65" xr:uid="{00000000-0004-0000-0000-000040000000}"/>
    <hyperlink ref="P79" r:id="rId66" xr:uid="{00000000-0004-0000-0000-000041000000}"/>
    <hyperlink ref="P80" r:id="rId67" xr:uid="{00000000-0004-0000-0000-000042000000}"/>
    <hyperlink ref="P81" r:id="rId68" xr:uid="{00000000-0004-0000-0000-000043000000}"/>
    <hyperlink ref="P82" r:id="rId69" xr:uid="{00000000-0004-0000-0000-000044000000}"/>
    <hyperlink ref="P83" r:id="rId70" xr:uid="{00000000-0004-0000-0000-000045000000}"/>
    <hyperlink ref="P84" r:id="rId71" xr:uid="{00000000-0004-0000-0000-000046000000}"/>
    <hyperlink ref="P88" r:id="rId72" xr:uid="{00000000-0004-0000-0000-000047000000}"/>
    <hyperlink ref="P89" r:id="rId73" xr:uid="{00000000-0004-0000-0000-000048000000}"/>
    <hyperlink ref="P90" r:id="rId74" xr:uid="{00000000-0004-0000-0000-000049000000}"/>
    <hyperlink ref="P91" r:id="rId75" xr:uid="{00000000-0004-0000-0000-00004A000000}"/>
    <hyperlink ref="P92" r:id="rId76" xr:uid="{00000000-0004-0000-0000-00004B000000}"/>
    <hyperlink ref="P94" r:id="rId77" xr:uid="{00000000-0004-0000-0000-00004C000000}"/>
    <hyperlink ref="P95" r:id="rId78" xr:uid="{00000000-0004-0000-0000-00004D000000}"/>
    <hyperlink ref="P96" r:id="rId79" xr:uid="{00000000-0004-0000-0000-00004E000000}"/>
    <hyperlink ref="P97" r:id="rId80" xr:uid="{00000000-0004-0000-0000-00004F000000}"/>
    <hyperlink ref="P100" r:id="rId81" xr:uid="{00000000-0004-0000-0000-000050000000}"/>
    <hyperlink ref="P101" r:id="rId82" xr:uid="{00000000-0004-0000-0000-000051000000}"/>
    <hyperlink ref="P103" r:id="rId83" xr:uid="{00000000-0004-0000-0000-000052000000}"/>
    <hyperlink ref="P104" r:id="rId84" xr:uid="{00000000-0004-0000-0000-000053000000}"/>
    <hyperlink ref="P105" r:id="rId85" xr:uid="{00000000-0004-0000-0000-000054000000}"/>
    <hyperlink ref="P107" r:id="rId86" xr:uid="{00000000-0004-0000-0000-000055000000}"/>
    <hyperlink ref="P108" r:id="rId87" xr:uid="{00000000-0004-0000-0000-000056000000}"/>
    <hyperlink ref="P109" r:id="rId88" xr:uid="{00000000-0004-0000-0000-000057000000}"/>
    <hyperlink ref="P110" r:id="rId89" xr:uid="{00000000-0004-0000-0000-000058000000}"/>
    <hyperlink ref="P111" r:id="rId90" xr:uid="{00000000-0004-0000-0000-000059000000}"/>
    <hyperlink ref="P112" r:id="rId91" xr:uid="{00000000-0004-0000-0000-00005A000000}"/>
    <hyperlink ref="P113" r:id="rId92" xr:uid="{00000000-0004-0000-0000-00005B000000}"/>
    <hyperlink ref="P114" r:id="rId93" xr:uid="{00000000-0004-0000-0000-00005C000000}"/>
    <hyperlink ref="P150" r:id="rId94" xr:uid="{F9E76B99-F2D6-408C-8B9D-591800292BB5}"/>
    <hyperlink ref="P129" r:id="rId95" xr:uid="{824983B0-AD84-4039-9777-7A63D35637BC}"/>
    <hyperlink ref="P151" r:id="rId96" xr:uid="{530C32B5-459E-446B-A816-B6C50F283607}"/>
    <hyperlink ref="P147" r:id="rId97" xr:uid="{AB91B936-2C5D-46F9-805C-00D87D4BF09D}"/>
    <hyperlink ref="P140" r:id="rId98" xr:uid="{2BEF4B24-5D30-42F4-8F99-E0EF8A6B6611}"/>
    <hyperlink ref="P152" r:id="rId99" xr:uid="{33CB29D0-BB26-426E-9384-A35E33078B51}"/>
    <hyperlink ref="P146" r:id="rId100" xr:uid="{46DC0CD6-5C58-4B5B-BA03-314235624115}"/>
    <hyperlink ref="P131" r:id="rId101" xr:uid="{B2057CC2-9C95-4A95-AF7F-69F9953AFFAF}"/>
    <hyperlink ref="P124" r:id="rId102" xr:uid="{04B90075-27C2-4B60-83F8-8AED77FF513D}"/>
    <hyperlink ref="P136" r:id="rId103" xr:uid="{0005A02F-E32F-4C3D-8FC9-AAC63F057AA6}"/>
    <hyperlink ref="P138" r:id="rId104" xr:uid="{7D903DCF-A67A-4FF7-B9D2-8C31BB5D18E9}"/>
    <hyperlink ref="P141" r:id="rId105" xr:uid="{D16564EC-29A8-49DA-BCFE-40152B104B5A}"/>
    <hyperlink ref="P133" r:id="rId106" xr:uid="{2431DC0A-C8D9-4952-BF2D-BF0086B73B95}"/>
    <hyperlink ref="P125" r:id="rId107" xr:uid="{3D27DE09-A80E-4AE1-8569-95735FCC9256}"/>
    <hyperlink ref="P128" r:id="rId108" xr:uid="{D0384A0F-7BCA-48AD-8080-93CB4BBCE9C9}"/>
    <hyperlink ref="P137" r:id="rId109" xr:uid="{0717E9B3-8BD6-4F48-84C1-E64F10A6CF2C}"/>
    <hyperlink ref="P126" r:id="rId110" xr:uid="{FD8896D8-62C2-4D91-AEAB-9C49B0F62A13}"/>
    <hyperlink ref="P139" r:id="rId111" xr:uid="{73FDA68C-CDB9-4067-9056-55AFCE7373F2}"/>
    <hyperlink ref="P149" r:id="rId112" xr:uid="{DB6BD681-B016-441B-86C4-2D3A77671340}"/>
    <hyperlink ref="P153" r:id="rId113" xr:uid="{C9FDFB71-1E88-42EA-BFF1-35A0312AE8A6}"/>
    <hyperlink ref="P148" r:id="rId114" xr:uid="{8DCF6A25-FC9E-4E99-8E8C-53E83926860C}"/>
    <hyperlink ref="P144" r:id="rId115" xr:uid="{F010488F-FD0D-45BA-A22F-620CBD087942}"/>
    <hyperlink ref="P134" r:id="rId116" xr:uid="{60945427-BD1A-4E7E-B6B9-EDBF993E3E86}"/>
    <hyperlink ref="P135" r:id="rId117" xr:uid="{4D110500-818F-4E6B-A917-23A3DC312529}"/>
    <hyperlink ref="P132" r:id="rId118" xr:uid="{E924663C-00D3-40B5-8B7E-A25DF52A4677}"/>
    <hyperlink ref="P145" r:id="rId119" xr:uid="{7E39ED09-E814-4E27-B960-4280E3F516B4}"/>
    <hyperlink ref="P127" r:id="rId120" xr:uid="{CAC7E24C-743A-4599-81FB-0DF3EA648CC1}"/>
    <hyperlink ref="P130" r:id="rId121" xr:uid="{0BD30066-CCBA-47EC-87D4-6E1CABAF9977}"/>
    <hyperlink ref="P143" r:id="rId122" xr:uid="{FA43143D-3012-48C0-98B5-20C3A33DB09D}"/>
    <hyperlink ref="P142" r:id="rId123" xr:uid="{B9E70DA4-2E7F-42BE-9476-CA9A6BE3B5B4}"/>
  </hyperlinks>
  <pageMargins left="1" right="1" top="1" bottom="1" header="0" footer="0"/>
  <pageSetup orientation="portrait" r:id="rId124"/>
  <headerFooter>
    <oddFooter>&amp;C000000&amp;P</oddFooter>
  </headerFooter>
  <legacyDrawing r:id="rId1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7DEE6-1A42-4E19-A2FE-74A3F08D9387}">
  <dimension ref="A1:Z919"/>
  <sheetViews>
    <sheetView tabSelected="1" workbookViewId="0">
      <selection activeCell="E8" sqref="E8"/>
    </sheetView>
  </sheetViews>
  <sheetFormatPr defaultColWidth="14.44140625" defaultRowHeight="13.2"/>
  <cols>
    <col min="1" max="1" width="29.33203125" style="30" customWidth="1"/>
    <col min="2" max="2" width="33.44140625" style="30" customWidth="1"/>
    <col min="3" max="3" width="56" style="30" customWidth="1"/>
    <col min="4" max="5" width="18.88671875" style="30" customWidth="1"/>
    <col min="6" max="6" width="5.109375" style="30" hidden="1" customWidth="1"/>
    <col min="7" max="7" width="20.33203125" style="30" hidden="1" customWidth="1"/>
    <col min="8" max="8" width="7.33203125" style="30" hidden="1" customWidth="1"/>
    <col min="9" max="9" width="5.6640625" style="30" hidden="1" customWidth="1"/>
    <col min="10" max="10" width="7.44140625" style="30" hidden="1" customWidth="1"/>
    <col min="11" max="11" width="9.6640625" style="30" hidden="1" customWidth="1"/>
    <col min="12" max="12" width="9" style="30" hidden="1" customWidth="1"/>
    <col min="13" max="13" width="10.44140625" style="30" hidden="1" customWidth="1"/>
    <col min="14" max="14" width="8" style="30" hidden="1" customWidth="1"/>
    <col min="15" max="15" width="28.6640625" style="30" hidden="1" customWidth="1"/>
    <col min="16" max="16" width="32.33203125" style="30" hidden="1" customWidth="1"/>
    <col min="17" max="17" width="34.6640625" style="30" hidden="1" customWidth="1"/>
    <col min="18" max="18" width="31.44140625" style="30" hidden="1" customWidth="1"/>
    <col min="19" max="19" width="111.6640625" style="30" customWidth="1"/>
    <col min="20" max="20" width="53.44140625" style="30" customWidth="1"/>
    <col min="21" max="21" width="26.109375" style="30" customWidth="1"/>
    <col min="22" max="22" width="47.44140625" style="30" customWidth="1"/>
    <col min="23" max="23" width="10.88671875" style="30" customWidth="1"/>
    <col min="24" max="24" width="15.88671875" style="45" customWidth="1"/>
    <col min="25" max="25" width="7.44140625" style="45" customWidth="1"/>
    <col min="26" max="26" width="8.33203125" style="45" customWidth="1"/>
    <col min="27" max="16384" width="14.44140625" style="45"/>
  </cols>
  <sheetData>
    <row r="1" spans="1:26" ht="20.25" customHeight="1">
      <c r="A1" s="9" t="s">
        <v>0</v>
      </c>
      <c r="B1" s="9" t="s">
        <v>1</v>
      </c>
      <c r="C1" s="9" t="s">
        <v>2</v>
      </c>
      <c r="D1" s="10" t="s">
        <v>3</v>
      </c>
      <c r="E1" s="10" t="s">
        <v>4</v>
      </c>
      <c r="F1" s="9" t="s">
        <v>5</v>
      </c>
      <c r="G1" s="9" t="s">
        <v>6</v>
      </c>
      <c r="H1" s="9" t="s">
        <v>7</v>
      </c>
      <c r="I1" s="9" t="s">
        <v>8</v>
      </c>
      <c r="J1" s="9" t="s">
        <v>9</v>
      </c>
      <c r="K1" s="9" t="s">
        <v>10</v>
      </c>
      <c r="L1" s="9" t="s">
        <v>11</v>
      </c>
      <c r="M1" s="9" t="s">
        <v>12</v>
      </c>
      <c r="N1" s="9" t="s">
        <v>13</v>
      </c>
      <c r="O1" s="9" t="s">
        <v>14</v>
      </c>
      <c r="P1" s="9" t="s">
        <v>15</v>
      </c>
      <c r="Q1" s="9" t="s">
        <v>16</v>
      </c>
      <c r="R1" s="11" t="s">
        <v>17</v>
      </c>
      <c r="S1" s="11" t="s">
        <v>18</v>
      </c>
      <c r="T1" s="11" t="s">
        <v>19</v>
      </c>
      <c r="U1" s="12" t="s">
        <v>20</v>
      </c>
      <c r="V1" s="11" t="s">
        <v>21</v>
      </c>
      <c r="W1" s="11" t="s">
        <v>22</v>
      </c>
      <c r="X1" s="1" t="s">
        <v>23</v>
      </c>
      <c r="Y1" s="1" t="s">
        <v>24</v>
      </c>
      <c r="Z1" s="2"/>
    </row>
    <row r="2" spans="1:26" ht="20.25" customHeight="1">
      <c r="A2" s="5" t="s">
        <v>25</v>
      </c>
      <c r="B2" s="5" t="s">
        <v>26</v>
      </c>
      <c r="C2" s="5" t="s">
        <v>27</v>
      </c>
      <c r="D2" s="13" t="s">
        <v>28</v>
      </c>
      <c r="E2" s="14" t="s">
        <v>28</v>
      </c>
      <c r="F2" s="5">
        <v>2012</v>
      </c>
      <c r="G2" s="5" t="s">
        <v>29</v>
      </c>
      <c r="H2" s="5">
        <v>82</v>
      </c>
      <c r="I2" s="5">
        <v>1</v>
      </c>
      <c r="J2" s="5" t="s">
        <v>30</v>
      </c>
      <c r="K2" s="5">
        <v>21</v>
      </c>
      <c r="L2" s="5">
        <v>38</v>
      </c>
      <c r="M2" s="5">
        <v>18</v>
      </c>
      <c r="N2" s="5">
        <v>36</v>
      </c>
      <c r="O2" s="5" t="s">
        <v>31</v>
      </c>
      <c r="P2" s="15" t="str">
        <f>HYPERLINK("http://dx.doi.org/10.1016/j.jebo.2011.12.010","http://dx.doi.org/10.1016/j.jebo.2011.12.010")</f>
        <v>http://dx.doi.org/10.1016/j.jebo.2011.12.010</v>
      </c>
      <c r="Q2" s="5" t="s">
        <v>32</v>
      </c>
      <c r="R2" s="16" t="s">
        <v>33</v>
      </c>
      <c r="S2" s="5" t="s">
        <v>34</v>
      </c>
      <c r="T2" s="5" t="s">
        <v>35</v>
      </c>
      <c r="U2" s="5" t="s">
        <v>36</v>
      </c>
      <c r="V2" s="5" t="s">
        <v>37</v>
      </c>
      <c r="W2" s="5" t="s">
        <v>38</v>
      </c>
      <c r="X2" s="3" t="s">
        <v>39</v>
      </c>
      <c r="Y2" s="3" t="s">
        <v>40</v>
      </c>
      <c r="Z2" s="2"/>
    </row>
    <row r="3" spans="1:26" ht="19.5" customHeight="1">
      <c r="A3" s="9" t="s">
        <v>41</v>
      </c>
      <c r="B3" s="17" t="s">
        <v>42</v>
      </c>
      <c r="C3" s="17" t="s">
        <v>43</v>
      </c>
      <c r="D3" s="14" t="s">
        <v>28</v>
      </c>
      <c r="E3" s="14" t="s">
        <v>28</v>
      </c>
      <c r="F3" s="18">
        <v>2024</v>
      </c>
      <c r="G3" s="19" t="s">
        <v>44</v>
      </c>
      <c r="H3" s="18">
        <v>31</v>
      </c>
      <c r="I3" s="18">
        <v>1</v>
      </c>
      <c r="J3" s="18">
        <v>20230042</v>
      </c>
      <c r="K3" s="18"/>
      <c r="L3" s="18"/>
      <c r="M3" s="18"/>
      <c r="N3" s="18">
        <v>0</v>
      </c>
      <c r="O3" s="17" t="s">
        <v>45</v>
      </c>
      <c r="P3" s="38" t="s">
        <v>46</v>
      </c>
      <c r="Q3" s="17" t="s">
        <v>47</v>
      </c>
      <c r="R3" s="20" t="s">
        <v>48</v>
      </c>
      <c r="S3" s="17" t="s">
        <v>49</v>
      </c>
      <c r="T3" s="17" t="s">
        <v>50</v>
      </c>
      <c r="U3" s="5"/>
      <c r="V3" s="19" t="s">
        <v>51</v>
      </c>
      <c r="W3" s="17" t="s">
        <v>38</v>
      </c>
      <c r="X3" s="4" t="s">
        <v>52</v>
      </c>
      <c r="Y3" s="4" t="s">
        <v>40</v>
      </c>
      <c r="Z3" s="2"/>
    </row>
    <row r="4" spans="1:26" ht="19.5" customHeight="1">
      <c r="A4" s="9" t="s">
        <v>53</v>
      </c>
      <c r="B4" s="17" t="s">
        <v>54</v>
      </c>
      <c r="C4" s="17" t="s">
        <v>55</v>
      </c>
      <c r="D4" s="14" t="s">
        <v>28</v>
      </c>
      <c r="E4" s="14" t="s">
        <v>28</v>
      </c>
      <c r="F4" s="18">
        <v>2024</v>
      </c>
      <c r="G4" s="19" t="s">
        <v>56</v>
      </c>
      <c r="H4" s="18">
        <v>16</v>
      </c>
      <c r="I4" s="18">
        <v>1</v>
      </c>
      <c r="J4" s="18"/>
      <c r="K4" s="18">
        <v>38</v>
      </c>
      <c r="L4" s="18">
        <v>61</v>
      </c>
      <c r="M4" s="18">
        <v>23</v>
      </c>
      <c r="N4" s="18">
        <v>0</v>
      </c>
      <c r="O4" s="17" t="s">
        <v>57</v>
      </c>
      <c r="P4" s="38" t="s">
        <v>58</v>
      </c>
      <c r="Q4" s="17" t="s">
        <v>59</v>
      </c>
      <c r="R4" s="20" t="s">
        <v>60</v>
      </c>
      <c r="S4" s="17" t="s">
        <v>61</v>
      </c>
      <c r="T4" s="17" t="s">
        <v>62</v>
      </c>
      <c r="U4" s="5" t="s">
        <v>63</v>
      </c>
      <c r="V4" s="19" t="s">
        <v>64</v>
      </c>
      <c r="W4" s="17" t="s">
        <v>38</v>
      </c>
      <c r="X4" s="4" t="s">
        <v>65</v>
      </c>
      <c r="Y4" s="4" t="s">
        <v>40</v>
      </c>
      <c r="Z4" s="2"/>
    </row>
    <row r="5" spans="1:26" ht="19.5" customHeight="1">
      <c r="A5" s="9" t="s">
        <v>77</v>
      </c>
      <c r="B5" s="17" t="s">
        <v>78</v>
      </c>
      <c r="C5" s="17" t="s">
        <v>79</v>
      </c>
      <c r="D5" s="14" t="s">
        <v>28</v>
      </c>
      <c r="E5" s="14" t="s">
        <v>28</v>
      </c>
      <c r="F5" s="18">
        <v>2011</v>
      </c>
      <c r="G5" s="19" t="s">
        <v>80</v>
      </c>
      <c r="H5" s="18"/>
      <c r="I5" s="18">
        <v>174</v>
      </c>
      <c r="J5" s="18"/>
      <c r="K5" s="18">
        <v>1</v>
      </c>
      <c r="L5" s="18">
        <v>153</v>
      </c>
      <c r="M5" s="18">
        <v>152</v>
      </c>
      <c r="N5" s="18">
        <v>5</v>
      </c>
      <c r="O5" s="18"/>
      <c r="P5" s="38" t="s">
        <v>81</v>
      </c>
      <c r="Q5" s="17" t="s">
        <v>82</v>
      </c>
      <c r="R5" s="20" t="s">
        <v>83</v>
      </c>
      <c r="S5" s="17" t="s">
        <v>84</v>
      </c>
      <c r="T5" s="17" t="s">
        <v>85</v>
      </c>
      <c r="U5" s="5"/>
      <c r="V5" s="19" t="s">
        <v>86</v>
      </c>
      <c r="W5" s="17" t="s">
        <v>38</v>
      </c>
      <c r="X5" s="4" t="s">
        <v>87</v>
      </c>
      <c r="Y5" s="4" t="s">
        <v>40</v>
      </c>
      <c r="Z5" s="2"/>
    </row>
    <row r="6" spans="1:26" ht="19.5" customHeight="1">
      <c r="A6" s="9" t="s">
        <v>88</v>
      </c>
      <c r="B6" s="17" t="s">
        <v>89</v>
      </c>
      <c r="C6" s="17" t="s">
        <v>90</v>
      </c>
      <c r="D6" s="14" t="s">
        <v>28</v>
      </c>
      <c r="E6" s="14" t="s">
        <v>28</v>
      </c>
      <c r="F6" s="18">
        <v>2023</v>
      </c>
      <c r="G6" s="19" t="s">
        <v>91</v>
      </c>
      <c r="H6" s="18">
        <v>66</v>
      </c>
      <c r="I6" s="18">
        <v>1</v>
      </c>
      <c r="J6" s="18"/>
      <c r="K6" s="18">
        <v>141</v>
      </c>
      <c r="L6" s="18">
        <v>168</v>
      </c>
      <c r="M6" s="18">
        <v>27</v>
      </c>
      <c r="N6" s="18">
        <v>6</v>
      </c>
      <c r="O6" s="17" t="s">
        <v>92</v>
      </c>
      <c r="P6" s="38" t="s">
        <v>93</v>
      </c>
      <c r="Q6" s="17" t="s">
        <v>94</v>
      </c>
      <c r="R6" s="20" t="s">
        <v>95</v>
      </c>
      <c r="S6" s="17" t="s">
        <v>96</v>
      </c>
      <c r="T6" s="17" t="s">
        <v>97</v>
      </c>
      <c r="U6" s="5"/>
      <c r="V6" s="19" t="s">
        <v>98</v>
      </c>
      <c r="W6" s="17" t="s">
        <v>38</v>
      </c>
      <c r="X6" s="4" t="s">
        <v>99</v>
      </c>
      <c r="Y6" s="4" t="s">
        <v>40</v>
      </c>
      <c r="Z6" s="2"/>
    </row>
    <row r="7" spans="1:26" ht="19.5" customHeight="1">
      <c r="A7" s="5" t="s">
        <v>112</v>
      </c>
      <c r="B7" s="5" t="s">
        <v>113</v>
      </c>
      <c r="C7" s="5" t="s">
        <v>114</v>
      </c>
      <c r="D7" s="14" t="s">
        <v>28</v>
      </c>
      <c r="E7" s="14" t="s">
        <v>28</v>
      </c>
      <c r="F7" s="5">
        <v>2019</v>
      </c>
      <c r="G7" s="5" t="s">
        <v>115</v>
      </c>
      <c r="H7" s="5">
        <v>34</v>
      </c>
      <c r="I7" s="5">
        <v>8</v>
      </c>
      <c r="J7" s="5" t="s">
        <v>30</v>
      </c>
      <c r="K7" s="5">
        <v>1263</v>
      </c>
      <c r="L7" s="5">
        <v>1285</v>
      </c>
      <c r="M7" s="5">
        <v>23</v>
      </c>
      <c r="N7" s="5">
        <v>14</v>
      </c>
      <c r="O7" s="5" t="s">
        <v>116</v>
      </c>
      <c r="P7" s="15" t="str">
        <f>HYPERLINK("http://dx.doi.org/10.1080/02673037.2018.1535054","http://dx.doi.org/10.1080/02673037.2018.1535054")</f>
        <v>http://dx.doi.org/10.1080/02673037.2018.1535054</v>
      </c>
      <c r="Q7" s="5" t="s">
        <v>117</v>
      </c>
      <c r="R7" s="16" t="s">
        <v>118</v>
      </c>
      <c r="S7" s="5" t="s">
        <v>119</v>
      </c>
      <c r="T7" s="5" t="s">
        <v>120</v>
      </c>
      <c r="U7" s="5" t="s">
        <v>121</v>
      </c>
      <c r="V7" s="5" t="s">
        <v>122</v>
      </c>
      <c r="W7" s="5" t="s">
        <v>38</v>
      </c>
      <c r="X7" s="3" t="s">
        <v>123</v>
      </c>
      <c r="Y7" s="3" t="s">
        <v>40</v>
      </c>
      <c r="Z7" s="2"/>
    </row>
    <row r="8" spans="1:26" ht="19.5" customHeight="1">
      <c r="A8" s="9" t="s">
        <v>124</v>
      </c>
      <c r="B8" s="17" t="s">
        <v>125</v>
      </c>
      <c r="C8" s="17" t="s">
        <v>126</v>
      </c>
      <c r="D8" s="14" t="s">
        <v>28</v>
      </c>
      <c r="E8" s="14" t="s">
        <v>28</v>
      </c>
      <c r="F8" s="18">
        <v>2021</v>
      </c>
      <c r="G8" s="19" t="s">
        <v>127</v>
      </c>
      <c r="H8" s="18">
        <v>21</v>
      </c>
      <c r="I8" s="18">
        <v>1</v>
      </c>
      <c r="J8" s="18"/>
      <c r="K8" s="18">
        <v>70</v>
      </c>
      <c r="L8" s="18">
        <v>102</v>
      </c>
      <c r="M8" s="18">
        <v>32</v>
      </c>
      <c r="N8" s="18">
        <v>20</v>
      </c>
      <c r="O8" s="17" t="s">
        <v>128</v>
      </c>
      <c r="P8" s="38" t="s">
        <v>129</v>
      </c>
      <c r="Q8" s="17" t="s">
        <v>130</v>
      </c>
      <c r="R8" s="20" t="s">
        <v>131</v>
      </c>
      <c r="S8" s="17" t="s">
        <v>132</v>
      </c>
      <c r="T8" s="17" t="s">
        <v>133</v>
      </c>
      <c r="U8" s="5" t="s">
        <v>134</v>
      </c>
      <c r="V8" s="19" t="s">
        <v>135</v>
      </c>
      <c r="W8" s="17" t="s">
        <v>38</v>
      </c>
      <c r="X8" s="4" t="s">
        <v>136</v>
      </c>
      <c r="Y8" s="4" t="s">
        <v>40</v>
      </c>
      <c r="Z8" s="2"/>
    </row>
    <row r="9" spans="1:26" ht="19.5" customHeight="1">
      <c r="A9" s="9" t="s">
        <v>137</v>
      </c>
      <c r="B9" s="17" t="s">
        <v>138</v>
      </c>
      <c r="C9" s="17" t="s">
        <v>139</v>
      </c>
      <c r="D9" s="14" t="s">
        <v>28</v>
      </c>
      <c r="E9" s="14" t="s">
        <v>28</v>
      </c>
      <c r="F9" s="18">
        <v>2013</v>
      </c>
      <c r="G9" s="19" t="s">
        <v>140</v>
      </c>
      <c r="H9" s="18">
        <v>28</v>
      </c>
      <c r="I9" s="18">
        <v>2</v>
      </c>
      <c r="J9" s="18"/>
      <c r="K9" s="18">
        <v>397</v>
      </c>
      <c r="L9" s="18">
        <v>407</v>
      </c>
      <c r="M9" s="18">
        <v>10</v>
      </c>
      <c r="N9" s="18">
        <v>30</v>
      </c>
      <c r="O9" s="17" t="s">
        <v>141</v>
      </c>
      <c r="P9" s="38" t="s">
        <v>142</v>
      </c>
      <c r="Q9" s="17" t="s">
        <v>143</v>
      </c>
      <c r="R9" s="20" t="s">
        <v>144</v>
      </c>
      <c r="S9" s="17" t="s">
        <v>145</v>
      </c>
      <c r="T9" s="17" t="s">
        <v>146</v>
      </c>
      <c r="U9" s="5" t="s">
        <v>147</v>
      </c>
      <c r="V9" s="22"/>
      <c r="W9" s="17" t="s">
        <v>38</v>
      </c>
      <c r="X9" s="4" t="s">
        <v>148</v>
      </c>
      <c r="Y9" s="4" t="s">
        <v>40</v>
      </c>
      <c r="Z9" s="2"/>
    </row>
    <row r="10" spans="1:26" ht="19.5" customHeight="1">
      <c r="A10" s="9" t="s">
        <v>149</v>
      </c>
      <c r="B10" s="17" t="s">
        <v>150</v>
      </c>
      <c r="C10" s="17" t="s">
        <v>151</v>
      </c>
      <c r="D10" s="14" t="s">
        <v>28</v>
      </c>
      <c r="E10" s="14" t="s">
        <v>28</v>
      </c>
      <c r="F10" s="18">
        <v>2021</v>
      </c>
      <c r="G10" s="19" t="s">
        <v>152</v>
      </c>
      <c r="H10" s="18">
        <v>53</v>
      </c>
      <c r="I10" s="18">
        <v>3</v>
      </c>
      <c r="J10" s="18"/>
      <c r="K10" s="18">
        <v>480</v>
      </c>
      <c r="L10" s="18">
        <v>502</v>
      </c>
      <c r="M10" s="18">
        <v>22</v>
      </c>
      <c r="N10" s="18">
        <v>63</v>
      </c>
      <c r="O10" s="17" t="s">
        <v>153</v>
      </c>
      <c r="P10" s="38" t="s">
        <v>154</v>
      </c>
      <c r="Q10" s="17" t="s">
        <v>155</v>
      </c>
      <c r="R10" s="20" t="s">
        <v>156</v>
      </c>
      <c r="S10" s="17" t="s">
        <v>157</v>
      </c>
      <c r="T10" s="17" t="s">
        <v>158</v>
      </c>
      <c r="U10" s="5" t="s">
        <v>159</v>
      </c>
      <c r="V10" s="19" t="s">
        <v>160</v>
      </c>
      <c r="W10" s="17" t="s">
        <v>38</v>
      </c>
      <c r="X10" s="4" t="s">
        <v>161</v>
      </c>
      <c r="Y10" s="4" t="s">
        <v>40</v>
      </c>
      <c r="Z10" s="2"/>
    </row>
    <row r="11" spans="1:26" ht="19.5" customHeight="1">
      <c r="A11" s="9" t="s">
        <v>162</v>
      </c>
      <c r="B11" s="17" t="s">
        <v>163</v>
      </c>
      <c r="C11" s="17" t="s">
        <v>164</v>
      </c>
      <c r="D11" s="14" t="s">
        <v>28</v>
      </c>
      <c r="E11" s="14" t="s">
        <v>28</v>
      </c>
      <c r="F11" s="18">
        <v>2013</v>
      </c>
      <c r="G11" s="19" t="s">
        <v>80</v>
      </c>
      <c r="H11" s="18"/>
      <c r="I11" s="18">
        <v>203</v>
      </c>
      <c r="J11" s="18"/>
      <c r="K11" s="18"/>
      <c r="L11" s="18"/>
      <c r="M11" s="18"/>
      <c r="N11" s="18">
        <v>1</v>
      </c>
      <c r="O11" s="18"/>
      <c r="P11" s="38" t="s">
        <v>165</v>
      </c>
      <c r="Q11" s="17" t="s">
        <v>166</v>
      </c>
      <c r="R11" s="20" t="s">
        <v>167</v>
      </c>
      <c r="S11" s="17" t="s">
        <v>168</v>
      </c>
      <c r="T11" s="17" t="s">
        <v>169</v>
      </c>
      <c r="U11" s="5"/>
      <c r="V11" s="19" t="s">
        <v>86</v>
      </c>
      <c r="W11" s="17" t="s">
        <v>38</v>
      </c>
      <c r="X11" s="4" t="s">
        <v>87</v>
      </c>
      <c r="Y11" s="4" t="s">
        <v>170</v>
      </c>
      <c r="Z11" s="2"/>
    </row>
    <row r="12" spans="1:26" ht="19.5" customHeight="1">
      <c r="A12" s="9" t="s">
        <v>171</v>
      </c>
      <c r="B12" s="17" t="s">
        <v>172</v>
      </c>
      <c r="C12" s="17" t="s">
        <v>173</v>
      </c>
      <c r="D12" s="14" t="s">
        <v>28</v>
      </c>
      <c r="E12" s="14" t="s">
        <v>28</v>
      </c>
      <c r="F12" s="18">
        <v>2019</v>
      </c>
      <c r="G12" s="19" t="s">
        <v>174</v>
      </c>
      <c r="H12" s="18">
        <v>17</v>
      </c>
      <c r="I12" s="18">
        <v>1</v>
      </c>
      <c r="J12" s="18"/>
      <c r="K12" s="18">
        <v>160</v>
      </c>
      <c r="L12" s="18">
        <v>175</v>
      </c>
      <c r="M12" s="18">
        <v>15</v>
      </c>
      <c r="N12" s="18">
        <v>4</v>
      </c>
      <c r="O12" s="17" t="s">
        <v>175</v>
      </c>
      <c r="P12" s="38" t="s">
        <v>176</v>
      </c>
      <c r="Q12" s="17" t="s">
        <v>177</v>
      </c>
      <c r="R12" s="20" t="s">
        <v>178</v>
      </c>
      <c r="S12" s="17" t="s">
        <v>179</v>
      </c>
      <c r="T12" s="17" t="s">
        <v>180</v>
      </c>
      <c r="U12" s="5"/>
      <c r="V12" s="19" t="s">
        <v>181</v>
      </c>
      <c r="W12" s="17" t="s">
        <v>38</v>
      </c>
      <c r="X12" s="4" t="s">
        <v>182</v>
      </c>
      <c r="Y12" s="4" t="s">
        <v>40</v>
      </c>
      <c r="Z12" s="2"/>
    </row>
    <row r="13" spans="1:26" ht="19.5" customHeight="1">
      <c r="A13" s="9" t="s">
        <v>183</v>
      </c>
      <c r="B13" s="17" t="s">
        <v>184</v>
      </c>
      <c r="C13" s="17" t="s">
        <v>185</v>
      </c>
      <c r="D13" s="14" t="s">
        <v>28</v>
      </c>
      <c r="E13" s="14" t="s">
        <v>28</v>
      </c>
      <c r="F13" s="18">
        <v>2022</v>
      </c>
      <c r="G13" s="19" t="s">
        <v>80</v>
      </c>
      <c r="H13" s="18"/>
      <c r="I13" s="18">
        <v>392</v>
      </c>
      <c r="J13" s="18"/>
      <c r="K13" s="18"/>
      <c r="L13" s="18"/>
      <c r="M13" s="18"/>
      <c r="N13" s="18">
        <v>1</v>
      </c>
      <c r="O13" s="17" t="s">
        <v>186</v>
      </c>
      <c r="P13" s="38" t="s">
        <v>187</v>
      </c>
      <c r="Q13" s="17" t="s">
        <v>188</v>
      </c>
      <c r="R13" s="20" t="s">
        <v>189</v>
      </c>
      <c r="S13" s="17" t="s">
        <v>190</v>
      </c>
      <c r="T13" s="17" t="s">
        <v>191</v>
      </c>
      <c r="U13" s="5"/>
      <c r="V13" s="19" t="s">
        <v>86</v>
      </c>
      <c r="W13" s="17" t="s">
        <v>38</v>
      </c>
      <c r="X13" s="4" t="s">
        <v>87</v>
      </c>
      <c r="Y13" s="4" t="s">
        <v>40</v>
      </c>
      <c r="Z13" s="2"/>
    </row>
    <row r="14" spans="1:26" ht="19.5" customHeight="1">
      <c r="A14" s="9" t="s">
        <v>201</v>
      </c>
      <c r="B14" s="17" t="s">
        <v>202</v>
      </c>
      <c r="C14" s="17" t="s">
        <v>203</v>
      </c>
      <c r="D14" s="14" t="s">
        <v>28</v>
      </c>
      <c r="E14" s="14" t="s">
        <v>28</v>
      </c>
      <c r="F14" s="18">
        <v>2022</v>
      </c>
      <c r="G14" s="19" t="s">
        <v>204</v>
      </c>
      <c r="H14" s="18">
        <v>136</v>
      </c>
      <c r="I14" s="18"/>
      <c r="J14" s="18"/>
      <c r="K14" s="18">
        <v>112</v>
      </c>
      <c r="L14" s="18">
        <v>121</v>
      </c>
      <c r="M14" s="18">
        <v>9</v>
      </c>
      <c r="N14" s="18">
        <v>5</v>
      </c>
      <c r="O14" s="17" t="s">
        <v>205</v>
      </c>
      <c r="P14" s="38" t="s">
        <v>206</v>
      </c>
      <c r="Q14" s="17" t="s">
        <v>207</v>
      </c>
      <c r="R14" s="20" t="s">
        <v>208</v>
      </c>
      <c r="S14" s="17" t="s">
        <v>209</v>
      </c>
      <c r="T14" s="17" t="s">
        <v>210</v>
      </c>
      <c r="U14" s="5" t="s">
        <v>211</v>
      </c>
      <c r="V14" s="19" t="s">
        <v>212</v>
      </c>
      <c r="W14" s="17" t="s">
        <v>38</v>
      </c>
      <c r="X14" s="4" t="s">
        <v>213</v>
      </c>
      <c r="Y14" s="4" t="s">
        <v>40</v>
      </c>
      <c r="Z14" s="2"/>
    </row>
    <row r="15" spans="1:26" ht="19.5" customHeight="1">
      <c r="A15" s="5" t="s">
        <v>214</v>
      </c>
      <c r="B15" s="5" t="s">
        <v>215</v>
      </c>
      <c r="C15" s="5" t="s">
        <v>216</v>
      </c>
      <c r="D15" s="14" t="s">
        <v>28</v>
      </c>
      <c r="E15" s="14" t="s">
        <v>28</v>
      </c>
      <c r="F15" s="5">
        <v>2022</v>
      </c>
      <c r="G15" s="5" t="s">
        <v>217</v>
      </c>
      <c r="H15" s="5">
        <v>62</v>
      </c>
      <c r="I15" s="5">
        <v>1</v>
      </c>
      <c r="J15" s="5" t="s">
        <v>30</v>
      </c>
      <c r="K15" s="5">
        <v>66</v>
      </c>
      <c r="L15" s="5">
        <v>74</v>
      </c>
      <c r="M15" s="5">
        <v>9</v>
      </c>
      <c r="N15" s="5">
        <v>8</v>
      </c>
      <c r="O15" s="5" t="s">
        <v>218</v>
      </c>
      <c r="P15" s="15" t="str">
        <f>HYPERLINK("http://dx.doi.org/10.1093/geront/gnab115","http://dx.doi.org/10.1093/geront/gnab115")</f>
        <v>http://dx.doi.org/10.1093/geront/gnab115</v>
      </c>
      <c r="Q15" s="5" t="s">
        <v>219</v>
      </c>
      <c r="R15" s="16" t="s">
        <v>220</v>
      </c>
      <c r="S15" s="5" t="s">
        <v>221</v>
      </c>
      <c r="T15" s="5" t="s">
        <v>222</v>
      </c>
      <c r="U15" s="5" t="s">
        <v>223</v>
      </c>
      <c r="V15" s="5" t="s">
        <v>224</v>
      </c>
      <c r="W15" s="5" t="s">
        <v>38</v>
      </c>
      <c r="X15" s="3" t="s">
        <v>225</v>
      </c>
      <c r="Y15" s="3" t="s">
        <v>40</v>
      </c>
      <c r="Z15" s="2"/>
    </row>
    <row r="16" spans="1:26" ht="19.5" customHeight="1">
      <c r="A16" s="9" t="s">
        <v>226</v>
      </c>
      <c r="B16" s="17" t="s">
        <v>227</v>
      </c>
      <c r="C16" s="17" t="s">
        <v>228</v>
      </c>
      <c r="D16" s="14" t="s">
        <v>28</v>
      </c>
      <c r="E16" s="14" t="s">
        <v>28</v>
      </c>
      <c r="F16" s="18">
        <v>2012</v>
      </c>
      <c r="G16" s="19" t="s">
        <v>80</v>
      </c>
      <c r="H16" s="18"/>
      <c r="I16" s="18">
        <v>193</v>
      </c>
      <c r="J16" s="18"/>
      <c r="K16" s="18"/>
      <c r="L16" s="18"/>
      <c r="M16" s="18"/>
      <c r="N16" s="18">
        <v>6</v>
      </c>
      <c r="O16" s="18"/>
      <c r="P16" s="38" t="s">
        <v>229</v>
      </c>
      <c r="Q16" s="17" t="s">
        <v>230</v>
      </c>
      <c r="R16" s="20" t="s">
        <v>231</v>
      </c>
      <c r="S16" s="17" t="s">
        <v>232</v>
      </c>
      <c r="T16" s="17" t="s">
        <v>233</v>
      </c>
      <c r="U16" s="5"/>
      <c r="V16" s="19" t="s">
        <v>86</v>
      </c>
      <c r="W16" s="17" t="s">
        <v>38</v>
      </c>
      <c r="X16" s="4" t="s">
        <v>87</v>
      </c>
      <c r="Y16" s="4" t="s">
        <v>40</v>
      </c>
      <c r="Z16" s="2"/>
    </row>
    <row r="17" spans="1:26" ht="19.5" customHeight="1">
      <c r="A17" s="9" t="s">
        <v>234</v>
      </c>
      <c r="B17" s="17" t="s">
        <v>235</v>
      </c>
      <c r="C17" s="17" t="s">
        <v>236</v>
      </c>
      <c r="D17" s="14" t="s">
        <v>28</v>
      </c>
      <c r="E17" s="14" t="s">
        <v>28</v>
      </c>
      <c r="F17" s="18">
        <v>2011</v>
      </c>
      <c r="G17" s="19" t="s">
        <v>237</v>
      </c>
      <c r="H17" s="18">
        <v>4</v>
      </c>
      <c r="I17" s="18">
        <v>4</v>
      </c>
      <c r="J17" s="18"/>
      <c r="K17" s="18">
        <v>357</v>
      </c>
      <c r="L17" s="18">
        <v>368</v>
      </c>
      <c r="M17" s="18">
        <v>11</v>
      </c>
      <c r="N17" s="18">
        <v>24</v>
      </c>
      <c r="O17" s="17" t="s">
        <v>238</v>
      </c>
      <c r="P17" s="38" t="s">
        <v>239</v>
      </c>
      <c r="Q17" s="17" t="s">
        <v>240</v>
      </c>
      <c r="R17" s="20" t="s">
        <v>241</v>
      </c>
      <c r="S17" s="17" t="s">
        <v>242</v>
      </c>
      <c r="T17" s="17" t="s">
        <v>243</v>
      </c>
      <c r="U17" s="5"/>
      <c r="V17" s="22"/>
      <c r="W17" s="17" t="s">
        <v>38</v>
      </c>
      <c r="X17" s="4" t="s">
        <v>244</v>
      </c>
      <c r="Y17" s="4" t="s">
        <v>40</v>
      </c>
      <c r="Z17" s="2"/>
    </row>
    <row r="18" spans="1:26" ht="19.5" customHeight="1">
      <c r="A18" s="9" t="s">
        <v>245</v>
      </c>
      <c r="B18" s="17" t="s">
        <v>246</v>
      </c>
      <c r="C18" s="17" t="s">
        <v>247</v>
      </c>
      <c r="D18" s="14" t="s">
        <v>28</v>
      </c>
      <c r="E18" s="14" t="s">
        <v>28</v>
      </c>
      <c r="F18" s="18">
        <v>2024</v>
      </c>
      <c r="G18" s="19" t="s">
        <v>248</v>
      </c>
      <c r="H18" s="18">
        <v>18</v>
      </c>
      <c r="I18" s="18">
        <v>2</v>
      </c>
      <c r="J18" s="18"/>
      <c r="K18" s="18">
        <v>150</v>
      </c>
      <c r="L18" s="18">
        <v>161</v>
      </c>
      <c r="M18" s="18">
        <v>11</v>
      </c>
      <c r="N18" s="18">
        <v>0</v>
      </c>
      <c r="O18" s="17" t="s">
        <v>249</v>
      </c>
      <c r="P18" s="38" t="s">
        <v>250</v>
      </c>
      <c r="Q18" s="17" t="s">
        <v>251</v>
      </c>
      <c r="R18" s="20" t="s">
        <v>252</v>
      </c>
      <c r="S18" s="17" t="s">
        <v>253</v>
      </c>
      <c r="T18" s="17" t="s">
        <v>254</v>
      </c>
      <c r="U18" s="5"/>
      <c r="V18" s="19" t="s">
        <v>255</v>
      </c>
      <c r="W18" s="17" t="s">
        <v>38</v>
      </c>
      <c r="X18" s="4" t="s">
        <v>256</v>
      </c>
      <c r="Y18" s="4" t="s">
        <v>40</v>
      </c>
      <c r="Z18" s="2"/>
    </row>
    <row r="19" spans="1:26" ht="19.5" customHeight="1">
      <c r="A19" s="9" t="s">
        <v>270</v>
      </c>
      <c r="B19" s="17" t="s">
        <v>271</v>
      </c>
      <c r="C19" s="17" t="s">
        <v>272</v>
      </c>
      <c r="D19" s="14" t="s">
        <v>28</v>
      </c>
      <c r="E19" s="14" t="s">
        <v>28</v>
      </c>
      <c r="F19" s="18">
        <v>2025</v>
      </c>
      <c r="G19" s="19" t="s">
        <v>237</v>
      </c>
      <c r="H19" s="18"/>
      <c r="I19" s="18"/>
      <c r="J19" s="18"/>
      <c r="K19" s="18"/>
      <c r="L19" s="18"/>
      <c r="M19" s="18"/>
      <c r="N19" s="18">
        <v>0</v>
      </c>
      <c r="O19" s="17" t="s">
        <v>273</v>
      </c>
      <c r="P19" s="38" t="s">
        <v>274</v>
      </c>
      <c r="Q19" s="17" t="s">
        <v>275</v>
      </c>
      <c r="R19" s="20" t="s">
        <v>276</v>
      </c>
      <c r="S19" s="17" t="s">
        <v>277</v>
      </c>
      <c r="T19" s="17" t="s">
        <v>278</v>
      </c>
      <c r="U19" s="5"/>
      <c r="V19" s="19" t="s">
        <v>279</v>
      </c>
      <c r="W19" s="17" t="s">
        <v>38</v>
      </c>
      <c r="X19" s="4" t="s">
        <v>244</v>
      </c>
      <c r="Y19" s="4" t="s">
        <v>40</v>
      </c>
      <c r="Z19" s="2"/>
    </row>
    <row r="20" spans="1:26" ht="19.5" customHeight="1">
      <c r="A20" s="9" t="s">
        <v>280</v>
      </c>
      <c r="B20" s="17" t="s">
        <v>281</v>
      </c>
      <c r="C20" s="17" t="s">
        <v>282</v>
      </c>
      <c r="D20" s="14" t="s">
        <v>28</v>
      </c>
      <c r="E20" s="14" t="s">
        <v>28</v>
      </c>
      <c r="F20" s="18">
        <v>2022</v>
      </c>
      <c r="G20" s="19" t="s">
        <v>283</v>
      </c>
      <c r="H20" s="18">
        <v>87</v>
      </c>
      <c r="I20" s="18">
        <v>1</v>
      </c>
      <c r="J20" s="18"/>
      <c r="K20" s="18">
        <v>167</v>
      </c>
      <c r="L20" s="18">
        <v>181</v>
      </c>
      <c r="M20" s="18">
        <v>14</v>
      </c>
      <c r="N20" s="18">
        <v>7</v>
      </c>
      <c r="O20" s="17" t="s">
        <v>284</v>
      </c>
      <c r="P20" s="38" t="s">
        <v>285</v>
      </c>
      <c r="Q20" s="17" t="s">
        <v>286</v>
      </c>
      <c r="R20" s="20" t="s">
        <v>287</v>
      </c>
      <c r="S20" s="17" t="s">
        <v>288</v>
      </c>
      <c r="T20" s="17" t="s">
        <v>289</v>
      </c>
      <c r="U20" s="5" t="s">
        <v>290</v>
      </c>
      <c r="V20" s="19" t="s">
        <v>291</v>
      </c>
      <c r="W20" s="17" t="s">
        <v>38</v>
      </c>
      <c r="X20" s="4" t="s">
        <v>292</v>
      </c>
      <c r="Y20" s="4" t="s">
        <v>40</v>
      </c>
      <c r="Z20" s="2"/>
    </row>
    <row r="21" spans="1:26" ht="19.5" customHeight="1">
      <c r="A21" s="9" t="s">
        <v>293</v>
      </c>
      <c r="B21" s="17" t="s">
        <v>294</v>
      </c>
      <c r="C21" s="17" t="s">
        <v>295</v>
      </c>
      <c r="D21" s="14" t="s">
        <v>28</v>
      </c>
      <c r="E21" s="14" t="s">
        <v>28</v>
      </c>
      <c r="F21" s="18">
        <v>2012</v>
      </c>
      <c r="G21" s="19" t="s">
        <v>115</v>
      </c>
      <c r="H21" s="18">
        <v>27</v>
      </c>
      <c r="I21" s="18">
        <v>4</v>
      </c>
      <c r="J21" s="18"/>
      <c r="K21" s="18">
        <v>457</v>
      </c>
      <c r="L21" s="18">
        <v>475</v>
      </c>
      <c r="M21" s="18">
        <v>18</v>
      </c>
      <c r="N21" s="18">
        <v>30</v>
      </c>
      <c r="O21" s="17" t="s">
        <v>296</v>
      </c>
      <c r="P21" s="38" t="s">
        <v>297</v>
      </c>
      <c r="Q21" s="17" t="s">
        <v>298</v>
      </c>
      <c r="R21" s="20" t="s">
        <v>299</v>
      </c>
      <c r="S21" s="17" t="s">
        <v>300</v>
      </c>
      <c r="T21" s="17" t="s">
        <v>301</v>
      </c>
      <c r="U21" s="5" t="s">
        <v>302</v>
      </c>
      <c r="V21" s="22"/>
      <c r="W21" s="17" t="s">
        <v>38</v>
      </c>
      <c r="X21" s="4" t="s">
        <v>123</v>
      </c>
      <c r="Y21" s="4" t="s">
        <v>40</v>
      </c>
      <c r="Z21" s="2"/>
    </row>
    <row r="22" spans="1:26" ht="19.5" customHeight="1">
      <c r="A22" s="9" t="s">
        <v>315</v>
      </c>
      <c r="B22" s="17" t="s">
        <v>316</v>
      </c>
      <c r="C22" s="17" t="s">
        <v>317</v>
      </c>
      <c r="D22" s="14" t="s">
        <v>28</v>
      </c>
      <c r="E22" s="14" t="s">
        <v>28</v>
      </c>
      <c r="F22" s="18">
        <v>2019</v>
      </c>
      <c r="G22" s="19" t="s">
        <v>318</v>
      </c>
      <c r="H22" s="18">
        <v>19</v>
      </c>
      <c r="I22" s="18">
        <v>4</v>
      </c>
      <c r="J22" s="18"/>
      <c r="K22" s="18">
        <v>354</v>
      </c>
      <c r="L22" s="18">
        <v>369</v>
      </c>
      <c r="M22" s="18">
        <v>15</v>
      </c>
      <c r="N22" s="18">
        <v>38</v>
      </c>
      <c r="O22" s="17" t="s">
        <v>319</v>
      </c>
      <c r="P22" s="38" t="s">
        <v>320</v>
      </c>
      <c r="Q22" s="17" t="s">
        <v>321</v>
      </c>
      <c r="R22" s="20" t="s">
        <v>322</v>
      </c>
      <c r="S22" s="17" t="s">
        <v>323</v>
      </c>
      <c r="T22" s="17" t="s">
        <v>324</v>
      </c>
      <c r="U22" s="5"/>
      <c r="V22" s="19" t="s">
        <v>64</v>
      </c>
      <c r="W22" s="17" t="s">
        <v>38</v>
      </c>
      <c r="X22" s="4" t="s">
        <v>325</v>
      </c>
      <c r="Y22" s="4" t="s">
        <v>40</v>
      </c>
      <c r="Z22" s="2"/>
    </row>
    <row r="23" spans="1:26" ht="19.5" customHeight="1">
      <c r="A23" s="9" t="s">
        <v>326</v>
      </c>
      <c r="B23" s="17" t="s">
        <v>327</v>
      </c>
      <c r="C23" s="17" t="s">
        <v>328</v>
      </c>
      <c r="D23" s="14" t="s">
        <v>28</v>
      </c>
      <c r="E23" s="14" t="s">
        <v>28</v>
      </c>
      <c r="F23" s="18">
        <v>2024</v>
      </c>
      <c r="G23" s="19" t="s">
        <v>329</v>
      </c>
      <c r="H23" s="18">
        <v>32</v>
      </c>
      <c r="I23" s="18">
        <v>3</v>
      </c>
      <c r="J23" s="18"/>
      <c r="K23" s="18">
        <v>87</v>
      </c>
      <c r="L23" s="18">
        <v>100</v>
      </c>
      <c r="M23" s="18">
        <v>13</v>
      </c>
      <c r="N23" s="18">
        <v>0</v>
      </c>
      <c r="O23" s="17" t="s">
        <v>330</v>
      </c>
      <c r="P23" s="38" t="s">
        <v>331</v>
      </c>
      <c r="Q23" s="17" t="s">
        <v>332</v>
      </c>
      <c r="R23" s="20" t="s">
        <v>333</v>
      </c>
      <c r="S23" s="17" t="s">
        <v>334</v>
      </c>
      <c r="T23" s="17" t="s">
        <v>335</v>
      </c>
      <c r="U23" s="5"/>
      <c r="V23" s="19" t="s">
        <v>255</v>
      </c>
      <c r="W23" s="17" t="s">
        <v>38</v>
      </c>
      <c r="X23" s="4" t="s">
        <v>336</v>
      </c>
      <c r="Y23" s="4" t="s">
        <v>40</v>
      </c>
      <c r="Z23" s="2"/>
    </row>
    <row r="24" spans="1:26" ht="19.5" customHeight="1">
      <c r="A24" s="9" t="s">
        <v>349</v>
      </c>
      <c r="B24" s="17" t="s">
        <v>350</v>
      </c>
      <c r="C24" s="17" t="s">
        <v>351</v>
      </c>
      <c r="D24" s="14" t="s">
        <v>28</v>
      </c>
      <c r="E24" s="14" t="s">
        <v>28</v>
      </c>
      <c r="F24" s="18">
        <v>2023</v>
      </c>
      <c r="G24" s="19" t="s">
        <v>352</v>
      </c>
      <c r="H24" s="18">
        <v>41</v>
      </c>
      <c r="I24" s="18">
        <v>3</v>
      </c>
      <c r="J24" s="18"/>
      <c r="K24" s="18">
        <v>203</v>
      </c>
      <c r="L24" s="18">
        <v>229</v>
      </c>
      <c r="M24" s="18">
        <v>26</v>
      </c>
      <c r="N24" s="18">
        <v>6</v>
      </c>
      <c r="O24" s="17" t="s">
        <v>353</v>
      </c>
      <c r="P24" s="38" t="s">
        <v>354</v>
      </c>
      <c r="Q24" s="17" t="s">
        <v>355</v>
      </c>
      <c r="R24" s="20" t="s">
        <v>356</v>
      </c>
      <c r="S24" s="17" t="s">
        <v>357</v>
      </c>
      <c r="T24" s="17" t="s">
        <v>358</v>
      </c>
      <c r="U24" s="5" t="s">
        <v>359</v>
      </c>
      <c r="V24" s="19" t="s">
        <v>135</v>
      </c>
      <c r="W24" s="17" t="s">
        <v>38</v>
      </c>
      <c r="X24" s="4" t="s">
        <v>360</v>
      </c>
      <c r="Y24" s="4" t="s">
        <v>40</v>
      </c>
      <c r="Z24" s="2"/>
    </row>
    <row r="25" spans="1:26" ht="19.5" customHeight="1">
      <c r="A25" s="9" t="s">
        <v>372</v>
      </c>
      <c r="B25" s="17" t="s">
        <v>373</v>
      </c>
      <c r="C25" s="17" t="s">
        <v>374</v>
      </c>
      <c r="D25" s="14" t="s">
        <v>28</v>
      </c>
      <c r="E25" s="14" t="s">
        <v>28</v>
      </c>
      <c r="F25" s="18">
        <v>2013</v>
      </c>
      <c r="G25" s="19" t="s">
        <v>237</v>
      </c>
      <c r="H25" s="18">
        <v>6</v>
      </c>
      <c r="I25" s="18">
        <v>3</v>
      </c>
      <c r="J25" s="18"/>
      <c r="K25" s="18">
        <v>269</v>
      </c>
      <c r="L25" s="18">
        <v>283</v>
      </c>
      <c r="M25" s="18">
        <v>14</v>
      </c>
      <c r="N25" s="18">
        <v>11</v>
      </c>
      <c r="O25" s="17" t="s">
        <v>375</v>
      </c>
      <c r="P25" s="38" t="s">
        <v>376</v>
      </c>
      <c r="Q25" s="17" t="s">
        <v>377</v>
      </c>
      <c r="R25" s="20" t="s">
        <v>378</v>
      </c>
      <c r="S25" s="17" t="s">
        <v>379</v>
      </c>
      <c r="T25" s="17" t="s">
        <v>380</v>
      </c>
      <c r="U25" s="5"/>
      <c r="V25" s="22"/>
      <c r="W25" s="17" t="s">
        <v>38</v>
      </c>
      <c r="X25" s="4" t="s">
        <v>244</v>
      </c>
      <c r="Y25" s="4" t="s">
        <v>40</v>
      </c>
      <c r="Z25" s="2"/>
    </row>
    <row r="26" spans="1:26" ht="19.5" customHeight="1">
      <c r="A26" s="9" t="s">
        <v>381</v>
      </c>
      <c r="B26" s="17" t="s">
        <v>382</v>
      </c>
      <c r="C26" s="17" t="s">
        <v>383</v>
      </c>
      <c r="D26" s="14" t="s">
        <v>28</v>
      </c>
      <c r="E26" s="14" t="s">
        <v>28</v>
      </c>
      <c r="F26" s="18">
        <v>2023</v>
      </c>
      <c r="G26" s="19" t="s">
        <v>384</v>
      </c>
      <c r="H26" s="18">
        <v>11</v>
      </c>
      <c r="I26" s="18">
        <v>2</v>
      </c>
      <c r="J26" s="18"/>
      <c r="K26" s="18">
        <v>199</v>
      </c>
      <c r="L26" s="18">
        <v>221</v>
      </c>
      <c r="M26" s="18">
        <v>22</v>
      </c>
      <c r="N26" s="18">
        <v>2</v>
      </c>
      <c r="O26" s="17" t="s">
        <v>385</v>
      </c>
      <c r="P26" s="38" t="s">
        <v>386</v>
      </c>
      <c r="Q26" s="17" t="s">
        <v>387</v>
      </c>
      <c r="R26" s="20" t="s">
        <v>388</v>
      </c>
      <c r="S26" s="38" t="s">
        <v>389</v>
      </c>
      <c r="T26" s="17" t="s">
        <v>390</v>
      </c>
      <c r="U26" s="5" t="s">
        <v>391</v>
      </c>
      <c r="V26" s="19" t="s">
        <v>392</v>
      </c>
      <c r="W26" s="17" t="s">
        <v>38</v>
      </c>
      <c r="X26" s="4" t="s">
        <v>393</v>
      </c>
      <c r="Y26" s="4" t="s">
        <v>40</v>
      </c>
      <c r="Z26" s="2"/>
    </row>
    <row r="27" spans="1:26" ht="19.5" customHeight="1">
      <c r="A27" s="9" t="s">
        <v>430</v>
      </c>
      <c r="B27" s="17" t="s">
        <v>431</v>
      </c>
      <c r="C27" s="17" t="s">
        <v>432</v>
      </c>
      <c r="D27" s="14" t="s">
        <v>28</v>
      </c>
      <c r="E27" s="14" t="s">
        <v>28</v>
      </c>
      <c r="F27" s="18">
        <v>2021</v>
      </c>
      <c r="G27" s="19" t="s">
        <v>115</v>
      </c>
      <c r="H27" s="18">
        <v>36</v>
      </c>
      <c r="I27" s="18">
        <v>7</v>
      </c>
      <c r="J27" s="18"/>
      <c r="K27" s="18">
        <v>1086</v>
      </c>
      <c r="L27" s="18">
        <v>1121</v>
      </c>
      <c r="M27" s="18">
        <v>35</v>
      </c>
      <c r="N27" s="18">
        <v>9</v>
      </c>
      <c r="O27" s="17" t="s">
        <v>433</v>
      </c>
      <c r="P27" s="38" t="s">
        <v>434</v>
      </c>
      <c r="Q27" s="17" t="s">
        <v>435</v>
      </c>
      <c r="R27" s="20" t="s">
        <v>436</v>
      </c>
      <c r="S27" s="17" t="s">
        <v>437</v>
      </c>
      <c r="T27" s="17" t="s">
        <v>438</v>
      </c>
      <c r="U27" s="5" t="s">
        <v>439</v>
      </c>
      <c r="V27" s="19" t="s">
        <v>135</v>
      </c>
      <c r="W27" s="17" t="s">
        <v>38</v>
      </c>
      <c r="X27" s="4" t="s">
        <v>123</v>
      </c>
      <c r="Y27" s="4" t="s">
        <v>40</v>
      </c>
      <c r="Z27" s="2"/>
    </row>
    <row r="28" spans="1:26" ht="19.5" customHeight="1">
      <c r="A28" s="9" t="s">
        <v>481</v>
      </c>
      <c r="B28" s="17" t="s">
        <v>482</v>
      </c>
      <c r="C28" s="17" t="s">
        <v>483</v>
      </c>
      <c r="D28" s="14" t="s">
        <v>28</v>
      </c>
      <c r="E28" s="14" t="s">
        <v>28</v>
      </c>
      <c r="F28" s="18">
        <v>2014</v>
      </c>
      <c r="G28" s="19" t="s">
        <v>80</v>
      </c>
      <c r="H28" s="18"/>
      <c r="I28" s="18">
        <v>233</v>
      </c>
      <c r="J28" s="18"/>
      <c r="K28" s="18">
        <v>1</v>
      </c>
      <c r="L28" s="18">
        <v>50</v>
      </c>
      <c r="M28" s="18">
        <v>49</v>
      </c>
      <c r="N28" s="18">
        <v>8</v>
      </c>
      <c r="O28" s="18"/>
      <c r="P28" s="38" t="s">
        <v>484</v>
      </c>
      <c r="Q28" s="17" t="s">
        <v>485</v>
      </c>
      <c r="R28" s="20" t="s">
        <v>486</v>
      </c>
      <c r="S28" s="17" t="s">
        <v>487</v>
      </c>
      <c r="T28" s="17" t="s">
        <v>488</v>
      </c>
      <c r="U28" s="5"/>
      <c r="V28" s="19" t="s">
        <v>86</v>
      </c>
      <c r="W28" s="17" t="s">
        <v>38</v>
      </c>
      <c r="X28" s="4" t="s">
        <v>87</v>
      </c>
      <c r="Y28" s="4" t="s">
        <v>40</v>
      </c>
      <c r="Z28" s="2"/>
    </row>
    <row r="29" spans="1:26" ht="19.5" customHeight="1">
      <c r="A29" s="9" t="s">
        <v>489</v>
      </c>
      <c r="B29" s="17" t="s">
        <v>490</v>
      </c>
      <c r="C29" s="17" t="s">
        <v>491</v>
      </c>
      <c r="D29" s="14" t="s">
        <v>28</v>
      </c>
      <c r="E29" s="14" t="s">
        <v>28</v>
      </c>
      <c r="F29" s="18">
        <v>2024</v>
      </c>
      <c r="G29" s="19" t="s">
        <v>492</v>
      </c>
      <c r="H29" s="18">
        <v>72</v>
      </c>
      <c r="I29" s="18">
        <v>2</v>
      </c>
      <c r="J29" s="18"/>
      <c r="K29" s="18">
        <v>29</v>
      </c>
      <c r="L29" s="18">
        <v>52</v>
      </c>
      <c r="M29" s="18">
        <v>23</v>
      </c>
      <c r="N29" s="18">
        <v>0</v>
      </c>
      <c r="O29" s="17" t="s">
        <v>493</v>
      </c>
      <c r="P29" s="38" t="s">
        <v>494</v>
      </c>
      <c r="Q29" s="17" t="s">
        <v>495</v>
      </c>
      <c r="R29" s="20" t="s">
        <v>496</v>
      </c>
      <c r="S29" s="17" t="s">
        <v>497</v>
      </c>
      <c r="T29" s="17" t="s">
        <v>498</v>
      </c>
      <c r="U29" s="5"/>
      <c r="V29" s="19" t="s">
        <v>255</v>
      </c>
      <c r="W29" s="17" t="s">
        <v>38</v>
      </c>
      <c r="X29" s="4" t="s">
        <v>499</v>
      </c>
      <c r="Y29" s="4" t="s">
        <v>40</v>
      </c>
      <c r="Z29" s="2"/>
    </row>
    <row r="30" spans="1:26" ht="19.5" customHeight="1">
      <c r="A30" s="9" t="s">
        <v>512</v>
      </c>
      <c r="B30" s="17" t="s">
        <v>513</v>
      </c>
      <c r="C30" s="17" t="s">
        <v>514</v>
      </c>
      <c r="D30" s="14" t="s">
        <v>28</v>
      </c>
      <c r="E30" s="14" t="s">
        <v>28</v>
      </c>
      <c r="F30" s="18">
        <v>2009</v>
      </c>
      <c r="G30" s="19" t="s">
        <v>80</v>
      </c>
      <c r="H30" s="18"/>
      <c r="I30" s="18">
        <v>135</v>
      </c>
      <c r="J30" s="18"/>
      <c r="K30" s="18">
        <v>1</v>
      </c>
      <c r="L30" s="18">
        <v>116</v>
      </c>
      <c r="M30" s="18">
        <v>115</v>
      </c>
      <c r="N30" s="18">
        <v>14</v>
      </c>
      <c r="O30" s="18"/>
      <c r="P30" s="38" t="s">
        <v>515</v>
      </c>
      <c r="Q30" s="17" t="s">
        <v>516</v>
      </c>
      <c r="R30" s="20" t="s">
        <v>517</v>
      </c>
      <c r="S30" s="17" t="s">
        <v>518</v>
      </c>
      <c r="T30" s="18"/>
      <c r="U30" s="5"/>
      <c r="V30" s="19" t="s">
        <v>86</v>
      </c>
      <c r="W30" s="17" t="s">
        <v>38</v>
      </c>
      <c r="X30" s="4" t="s">
        <v>87</v>
      </c>
      <c r="Y30" s="4" t="s">
        <v>40</v>
      </c>
      <c r="Z30" s="2"/>
    </row>
    <row r="31" spans="1:26" ht="19.5" customHeight="1">
      <c r="A31" s="5" t="s">
        <v>519</v>
      </c>
      <c r="B31" s="5" t="s">
        <v>520</v>
      </c>
      <c r="C31" s="5" t="s">
        <v>521</v>
      </c>
      <c r="D31" s="14" t="s">
        <v>28</v>
      </c>
      <c r="E31" s="14" t="s">
        <v>28</v>
      </c>
      <c r="F31" s="5">
        <v>2008</v>
      </c>
      <c r="G31" s="5" t="s">
        <v>522</v>
      </c>
      <c r="H31" s="5">
        <v>24</v>
      </c>
      <c r="I31" s="5">
        <v>1</v>
      </c>
      <c r="J31" s="5" t="s">
        <v>30</v>
      </c>
      <c r="K31" s="5">
        <v>1</v>
      </c>
      <c r="L31" s="5">
        <v>33</v>
      </c>
      <c r="M31" s="5">
        <v>33</v>
      </c>
      <c r="N31" s="5">
        <v>157</v>
      </c>
      <c r="O31" s="5" t="s">
        <v>523</v>
      </c>
      <c r="P31" s="15" t="str">
        <f>HYPERLINK("http://dx.doi.org/10.1093/oxrep/grn011","http://dx.doi.org/10.1093/oxrep/grn011")</f>
        <v>http://dx.doi.org/10.1093/oxrep/grn011</v>
      </c>
      <c r="Q31" s="5" t="s">
        <v>524</v>
      </c>
      <c r="R31" s="16" t="s">
        <v>525</v>
      </c>
      <c r="S31" s="5" t="s">
        <v>526</v>
      </c>
      <c r="T31" s="5" t="s">
        <v>527</v>
      </c>
      <c r="U31" s="5" t="s">
        <v>528</v>
      </c>
      <c r="V31" s="5" t="s">
        <v>529</v>
      </c>
      <c r="W31" s="5" t="s">
        <v>38</v>
      </c>
      <c r="X31" s="3" t="s">
        <v>530</v>
      </c>
      <c r="Y31" s="3" t="s">
        <v>170</v>
      </c>
      <c r="Z31" s="2"/>
    </row>
    <row r="32" spans="1:26" ht="19.5" customHeight="1">
      <c r="A32" s="9" t="s">
        <v>531</v>
      </c>
      <c r="B32" s="17" t="s">
        <v>532</v>
      </c>
      <c r="C32" s="17" t="s">
        <v>533</v>
      </c>
      <c r="D32" s="14" t="s">
        <v>28</v>
      </c>
      <c r="E32" s="14" t="s">
        <v>28</v>
      </c>
      <c r="F32" s="18">
        <v>2022</v>
      </c>
      <c r="G32" s="19" t="s">
        <v>534</v>
      </c>
      <c r="H32" s="18">
        <v>9</v>
      </c>
      <c r="I32" s="18">
        <v>2</v>
      </c>
      <c r="J32" s="18"/>
      <c r="K32" s="18">
        <v>18</v>
      </c>
      <c r="L32" s="18">
        <v>29</v>
      </c>
      <c r="M32" s="18">
        <v>11</v>
      </c>
      <c r="N32" s="18">
        <v>1</v>
      </c>
      <c r="O32" s="17" t="s">
        <v>535</v>
      </c>
      <c r="P32" s="38" t="s">
        <v>536</v>
      </c>
      <c r="Q32" s="17" t="s">
        <v>537</v>
      </c>
      <c r="R32" s="20" t="s">
        <v>538</v>
      </c>
      <c r="S32" s="17" t="s">
        <v>539</v>
      </c>
      <c r="T32" s="17" t="s">
        <v>540</v>
      </c>
      <c r="U32" s="5"/>
      <c r="V32" s="19" t="s">
        <v>541</v>
      </c>
      <c r="W32" s="17" t="s">
        <v>38</v>
      </c>
      <c r="X32" s="4" t="s">
        <v>542</v>
      </c>
      <c r="Y32" s="4" t="s">
        <v>40</v>
      </c>
      <c r="Z32" s="2"/>
    </row>
    <row r="33" spans="1:26" ht="19.5" customHeight="1">
      <c r="A33" s="9" t="s">
        <v>555</v>
      </c>
      <c r="B33" s="17" t="s">
        <v>556</v>
      </c>
      <c r="C33" s="17" t="s">
        <v>557</v>
      </c>
      <c r="D33" s="14" t="s">
        <v>28</v>
      </c>
      <c r="E33" s="14" t="s">
        <v>28</v>
      </c>
      <c r="F33" s="18">
        <v>2018</v>
      </c>
      <c r="G33" s="19" t="s">
        <v>558</v>
      </c>
      <c r="H33" s="18">
        <v>35</v>
      </c>
      <c r="I33" s="18">
        <v>3</v>
      </c>
      <c r="J33" s="18"/>
      <c r="K33" s="18">
        <v>353</v>
      </c>
      <c r="L33" s="18">
        <v>377</v>
      </c>
      <c r="M33" s="18">
        <v>24</v>
      </c>
      <c r="N33" s="18">
        <v>15</v>
      </c>
      <c r="O33" s="17" t="s">
        <v>559</v>
      </c>
      <c r="P33" s="38" t="s">
        <v>560</v>
      </c>
      <c r="Q33" s="17" t="s">
        <v>561</v>
      </c>
      <c r="R33" s="20" t="s">
        <v>562</v>
      </c>
      <c r="S33" s="17" t="s">
        <v>563</v>
      </c>
      <c r="T33" s="17" t="s">
        <v>564</v>
      </c>
      <c r="U33" s="5" t="s">
        <v>565</v>
      </c>
      <c r="V33" s="19" t="s">
        <v>135</v>
      </c>
      <c r="W33" s="17" t="s">
        <v>38</v>
      </c>
      <c r="X33" s="4" t="s">
        <v>566</v>
      </c>
      <c r="Y33" s="4" t="s">
        <v>40</v>
      </c>
      <c r="Z33" s="2"/>
    </row>
    <row r="34" spans="1:26" ht="19.5" customHeight="1">
      <c r="A34" s="9" t="s">
        <v>567</v>
      </c>
      <c r="B34" s="17" t="s">
        <v>568</v>
      </c>
      <c r="C34" s="17" t="s">
        <v>569</v>
      </c>
      <c r="D34" s="14" t="s">
        <v>28</v>
      </c>
      <c r="E34" s="14" t="s">
        <v>28</v>
      </c>
      <c r="F34" s="18">
        <v>2024</v>
      </c>
      <c r="G34" s="19" t="s">
        <v>570</v>
      </c>
      <c r="H34" s="18"/>
      <c r="I34" s="18"/>
      <c r="J34" s="18"/>
      <c r="K34" s="18"/>
      <c r="L34" s="18"/>
      <c r="M34" s="18"/>
      <c r="N34" s="18">
        <v>0</v>
      </c>
      <c r="O34" s="17" t="s">
        <v>571</v>
      </c>
      <c r="P34" s="38" t="s">
        <v>572</v>
      </c>
      <c r="Q34" s="17" t="s">
        <v>573</v>
      </c>
      <c r="R34" s="20" t="s">
        <v>574</v>
      </c>
      <c r="S34" s="17" t="s">
        <v>575</v>
      </c>
      <c r="T34" s="17" t="s">
        <v>576</v>
      </c>
      <c r="U34" s="5"/>
      <c r="V34" s="19" t="s">
        <v>279</v>
      </c>
      <c r="W34" s="17" t="s">
        <v>38</v>
      </c>
      <c r="X34" s="4" t="s">
        <v>577</v>
      </c>
      <c r="Y34" s="4" t="s">
        <v>40</v>
      </c>
      <c r="Z34" s="2"/>
    </row>
    <row r="35" spans="1:26" ht="19.5" customHeight="1">
      <c r="A35" s="9" t="s">
        <v>578</v>
      </c>
      <c r="B35" s="17" t="s">
        <v>579</v>
      </c>
      <c r="C35" s="17" t="s">
        <v>580</v>
      </c>
      <c r="D35" s="14" t="s">
        <v>28</v>
      </c>
      <c r="E35" s="14" t="s">
        <v>28</v>
      </c>
      <c r="F35" s="18">
        <v>1990</v>
      </c>
      <c r="G35" s="19" t="s">
        <v>581</v>
      </c>
      <c r="H35" s="18">
        <v>8</v>
      </c>
      <c r="I35" s="18">
        <v>4</v>
      </c>
      <c r="J35" s="18"/>
      <c r="K35" s="18">
        <v>177</v>
      </c>
      <c r="L35" s="18">
        <v>184</v>
      </c>
      <c r="M35" s="18">
        <v>7</v>
      </c>
      <c r="N35" s="18">
        <v>2</v>
      </c>
      <c r="O35" s="17" t="s">
        <v>582</v>
      </c>
      <c r="P35" s="38" t="s">
        <v>583</v>
      </c>
      <c r="Q35" s="18"/>
      <c r="R35" s="23"/>
      <c r="S35" s="17" t="s">
        <v>584</v>
      </c>
      <c r="T35" s="18"/>
      <c r="U35" s="5"/>
      <c r="V35" s="22"/>
      <c r="W35" s="17" t="s">
        <v>38</v>
      </c>
      <c r="X35" s="4" t="s">
        <v>585</v>
      </c>
      <c r="Y35" s="4" t="s">
        <v>40</v>
      </c>
      <c r="Z35" s="2"/>
    </row>
    <row r="36" spans="1:26" ht="19.5" customHeight="1">
      <c r="A36" s="9" t="s">
        <v>596</v>
      </c>
      <c r="B36" s="17" t="s">
        <v>597</v>
      </c>
      <c r="C36" s="17" t="s">
        <v>598</v>
      </c>
      <c r="D36" s="14" t="s">
        <v>28</v>
      </c>
      <c r="E36" s="14" t="s">
        <v>28</v>
      </c>
      <c r="F36" s="18">
        <v>2009</v>
      </c>
      <c r="G36" s="19" t="s">
        <v>80</v>
      </c>
      <c r="H36" s="18"/>
      <c r="I36" s="18">
        <v>134</v>
      </c>
      <c r="J36" s="18"/>
      <c r="K36" s="18">
        <v>1</v>
      </c>
      <c r="L36" s="18">
        <v>197</v>
      </c>
      <c r="M36" s="18">
        <v>196</v>
      </c>
      <c r="N36" s="18">
        <v>16</v>
      </c>
      <c r="O36" s="18"/>
      <c r="P36" s="38" t="s">
        <v>599</v>
      </c>
      <c r="Q36" s="17" t="s">
        <v>600</v>
      </c>
      <c r="R36" s="20" t="s">
        <v>601</v>
      </c>
      <c r="S36" s="17" t="s">
        <v>602</v>
      </c>
      <c r="T36" s="18"/>
      <c r="U36" s="5"/>
      <c r="V36" s="19" t="s">
        <v>86</v>
      </c>
      <c r="W36" s="17" t="s">
        <v>38</v>
      </c>
      <c r="X36" s="4" t="s">
        <v>87</v>
      </c>
      <c r="Y36" s="4" t="s">
        <v>40</v>
      </c>
      <c r="Z36" s="2"/>
    </row>
    <row r="37" spans="1:26" ht="19.5" customHeight="1">
      <c r="A37" s="9" t="s">
        <v>603</v>
      </c>
      <c r="B37" s="17" t="s">
        <v>604</v>
      </c>
      <c r="C37" s="17" t="s">
        <v>605</v>
      </c>
      <c r="D37" s="14" t="s">
        <v>28</v>
      </c>
      <c r="E37" s="14" t="s">
        <v>28</v>
      </c>
      <c r="F37" s="18">
        <v>2018</v>
      </c>
      <c r="G37" s="19" t="s">
        <v>606</v>
      </c>
      <c r="H37" s="18">
        <v>55</v>
      </c>
      <c r="I37" s="17" t="s">
        <v>607</v>
      </c>
      <c r="J37" s="18"/>
      <c r="K37" s="18">
        <v>174</v>
      </c>
      <c r="L37" s="18">
        <v>185</v>
      </c>
      <c r="M37" s="18">
        <v>11</v>
      </c>
      <c r="N37" s="18">
        <v>7</v>
      </c>
      <c r="O37" s="17" t="s">
        <v>608</v>
      </c>
      <c r="P37" s="38" t="s">
        <v>609</v>
      </c>
      <c r="Q37" s="17" t="s">
        <v>610</v>
      </c>
      <c r="R37" s="20" t="s">
        <v>611</v>
      </c>
      <c r="S37" s="17" t="s">
        <v>612</v>
      </c>
      <c r="T37" s="17" t="s">
        <v>613</v>
      </c>
      <c r="U37" s="5"/>
      <c r="V37" s="19" t="s">
        <v>135</v>
      </c>
      <c r="W37" s="17" t="s">
        <v>38</v>
      </c>
      <c r="X37" s="4" t="s">
        <v>614</v>
      </c>
      <c r="Y37" s="4" t="s">
        <v>40</v>
      </c>
      <c r="Z37" s="2"/>
    </row>
    <row r="38" spans="1:26" ht="19.5" customHeight="1">
      <c r="A38" s="9" t="s">
        <v>615</v>
      </c>
      <c r="B38" s="17" t="s">
        <v>616</v>
      </c>
      <c r="C38" s="17" t="s">
        <v>617</v>
      </c>
      <c r="D38" s="14" t="s">
        <v>28</v>
      </c>
      <c r="E38" s="14" t="s">
        <v>28</v>
      </c>
      <c r="F38" s="18">
        <v>2018</v>
      </c>
      <c r="G38" s="19" t="s">
        <v>80</v>
      </c>
      <c r="H38" s="18"/>
      <c r="I38" s="18">
        <v>300</v>
      </c>
      <c r="J38" s="18"/>
      <c r="K38" s="18">
        <v>1</v>
      </c>
      <c r="L38" s="18">
        <v>59</v>
      </c>
      <c r="M38" s="18">
        <v>58</v>
      </c>
      <c r="N38" s="18">
        <v>11</v>
      </c>
      <c r="O38" s="17" t="s">
        <v>618</v>
      </c>
      <c r="P38" s="38" t="s">
        <v>619</v>
      </c>
      <c r="Q38" s="17" t="s">
        <v>620</v>
      </c>
      <c r="R38" s="20" t="s">
        <v>621</v>
      </c>
      <c r="S38" s="17" t="s">
        <v>622</v>
      </c>
      <c r="T38" s="17" t="s">
        <v>623</v>
      </c>
      <c r="U38" s="5"/>
      <c r="V38" s="19" t="s">
        <v>86</v>
      </c>
      <c r="W38" s="17" t="s">
        <v>38</v>
      </c>
      <c r="X38" s="4" t="s">
        <v>87</v>
      </c>
      <c r="Y38" s="4" t="s">
        <v>170</v>
      </c>
      <c r="Z38" s="2"/>
    </row>
    <row r="39" spans="1:26" ht="19.5" customHeight="1">
      <c r="A39" s="9" t="s">
        <v>624</v>
      </c>
      <c r="B39" s="17" t="s">
        <v>625</v>
      </c>
      <c r="C39" s="17" t="s">
        <v>626</v>
      </c>
      <c r="D39" s="14" t="s">
        <v>28</v>
      </c>
      <c r="E39" s="14" t="s">
        <v>28</v>
      </c>
      <c r="F39" s="18">
        <v>2020</v>
      </c>
      <c r="G39" s="19" t="s">
        <v>581</v>
      </c>
      <c r="H39" s="18">
        <v>38</v>
      </c>
      <c r="I39" s="18">
        <v>2</v>
      </c>
      <c r="J39" s="18"/>
      <c r="K39" s="18">
        <v>89</v>
      </c>
      <c r="L39" s="18">
        <v>100</v>
      </c>
      <c r="M39" s="18">
        <v>11</v>
      </c>
      <c r="N39" s="18">
        <v>2</v>
      </c>
      <c r="O39" s="17" t="s">
        <v>627</v>
      </c>
      <c r="P39" s="38" t="s">
        <v>628</v>
      </c>
      <c r="Q39" s="17" t="s">
        <v>629</v>
      </c>
      <c r="R39" s="20" t="s">
        <v>630</v>
      </c>
      <c r="S39" s="17" t="s">
        <v>631</v>
      </c>
      <c r="T39" s="17" t="s">
        <v>632</v>
      </c>
      <c r="U39" s="5"/>
      <c r="V39" s="19" t="s">
        <v>135</v>
      </c>
      <c r="W39" s="17" t="s">
        <v>38</v>
      </c>
      <c r="X39" s="4" t="s">
        <v>585</v>
      </c>
      <c r="Y39" s="4" t="s">
        <v>40</v>
      </c>
      <c r="Z39" s="2"/>
    </row>
    <row r="40" spans="1:26" ht="19.5" customHeight="1">
      <c r="A40" s="9" t="s">
        <v>643</v>
      </c>
      <c r="B40" s="17" t="s">
        <v>644</v>
      </c>
      <c r="C40" s="17" t="s">
        <v>645</v>
      </c>
      <c r="D40" s="14" t="s">
        <v>70</v>
      </c>
      <c r="E40" s="14" t="s">
        <v>28</v>
      </c>
      <c r="F40" s="18">
        <v>2025</v>
      </c>
      <c r="G40" s="19" t="s">
        <v>646</v>
      </c>
      <c r="H40" s="18">
        <v>40</v>
      </c>
      <c r="I40" s="18">
        <v>1</v>
      </c>
      <c r="J40" s="18"/>
      <c r="K40" s="18">
        <v>1</v>
      </c>
      <c r="L40" s="18">
        <v>57</v>
      </c>
      <c r="M40" s="18">
        <v>56</v>
      </c>
      <c r="N40" s="18">
        <v>0</v>
      </c>
      <c r="O40" s="17" t="s">
        <v>647</v>
      </c>
      <c r="P40" s="38" t="s">
        <v>648</v>
      </c>
      <c r="Q40" s="17" t="s">
        <v>649</v>
      </c>
      <c r="R40" s="20" t="s">
        <v>650</v>
      </c>
      <c r="S40" s="17" t="s">
        <v>651</v>
      </c>
      <c r="T40" s="17" t="s">
        <v>652</v>
      </c>
      <c r="U40" s="5" t="s">
        <v>653</v>
      </c>
      <c r="V40" s="19" t="s">
        <v>654</v>
      </c>
      <c r="W40" s="17" t="s">
        <v>38</v>
      </c>
      <c r="X40" s="4" t="s">
        <v>655</v>
      </c>
      <c r="Y40" s="4" t="s">
        <v>40</v>
      </c>
      <c r="Z40" s="2"/>
    </row>
    <row r="41" spans="1:26" ht="19.5" customHeight="1">
      <c r="A41" s="9" t="s">
        <v>656</v>
      </c>
      <c r="B41" s="17" t="s">
        <v>657</v>
      </c>
      <c r="C41" s="17" t="s">
        <v>658</v>
      </c>
      <c r="D41" s="14" t="s">
        <v>28</v>
      </c>
      <c r="E41" s="14" t="s">
        <v>28</v>
      </c>
      <c r="F41" s="18">
        <v>2012</v>
      </c>
      <c r="G41" s="19" t="s">
        <v>115</v>
      </c>
      <c r="H41" s="18">
        <v>27</v>
      </c>
      <c r="I41" s="18">
        <v>4</v>
      </c>
      <c r="J41" s="18"/>
      <c r="K41" s="18">
        <v>476</v>
      </c>
      <c r="L41" s="18">
        <v>494</v>
      </c>
      <c r="M41" s="18">
        <v>18</v>
      </c>
      <c r="N41" s="18">
        <v>47</v>
      </c>
      <c r="O41" s="17" t="s">
        <v>659</v>
      </c>
      <c r="P41" s="38" t="s">
        <v>660</v>
      </c>
      <c r="Q41" s="17" t="s">
        <v>661</v>
      </c>
      <c r="R41" s="20" t="s">
        <v>662</v>
      </c>
      <c r="S41" s="17" t="s">
        <v>663</v>
      </c>
      <c r="T41" s="17" t="s">
        <v>664</v>
      </c>
      <c r="U41" s="5" t="s">
        <v>665</v>
      </c>
      <c r="V41" s="22"/>
      <c r="W41" s="17" t="s">
        <v>38</v>
      </c>
      <c r="X41" s="4" t="s">
        <v>123</v>
      </c>
      <c r="Y41" s="4" t="s">
        <v>40</v>
      </c>
      <c r="Z41" s="2"/>
    </row>
    <row r="42" spans="1:26" ht="19.5" customHeight="1">
      <c r="A42" s="9" t="s">
        <v>666</v>
      </c>
      <c r="B42" s="17" t="s">
        <v>667</v>
      </c>
      <c r="C42" s="17" t="s">
        <v>668</v>
      </c>
      <c r="D42" s="14" t="s">
        <v>28</v>
      </c>
      <c r="E42" s="14" t="s">
        <v>28</v>
      </c>
      <c r="F42" s="18">
        <v>2014</v>
      </c>
      <c r="G42" s="19" t="s">
        <v>534</v>
      </c>
      <c r="H42" s="18">
        <v>1</v>
      </c>
      <c r="I42" s="18">
        <v>1</v>
      </c>
      <c r="J42" s="18"/>
      <c r="K42" s="18">
        <v>17</v>
      </c>
      <c r="L42" s="18">
        <v>25</v>
      </c>
      <c r="M42" s="18">
        <v>8</v>
      </c>
      <c r="N42" s="18">
        <v>1</v>
      </c>
      <c r="O42" s="17" t="s">
        <v>669</v>
      </c>
      <c r="P42" s="38" t="s">
        <v>670</v>
      </c>
      <c r="Q42" s="17" t="s">
        <v>671</v>
      </c>
      <c r="R42" s="20" t="s">
        <v>672</v>
      </c>
      <c r="S42" s="17" t="s">
        <v>673</v>
      </c>
      <c r="T42" s="17" t="s">
        <v>674</v>
      </c>
      <c r="U42" s="5"/>
      <c r="V42" s="19" t="s">
        <v>541</v>
      </c>
      <c r="W42" s="17" t="s">
        <v>38</v>
      </c>
      <c r="X42" s="4" t="s">
        <v>542</v>
      </c>
      <c r="Y42" s="4" t="s">
        <v>40</v>
      </c>
      <c r="Z42" s="2"/>
    </row>
    <row r="43" spans="1:26" ht="19.5" customHeight="1">
      <c r="A43" s="9" t="s">
        <v>675</v>
      </c>
      <c r="B43" s="17" t="s">
        <v>676</v>
      </c>
      <c r="C43" s="17" t="s">
        <v>677</v>
      </c>
      <c r="D43" s="14" t="s">
        <v>28</v>
      </c>
      <c r="E43" s="14" t="s">
        <v>28</v>
      </c>
      <c r="F43" s="18">
        <v>2018</v>
      </c>
      <c r="G43" s="19" t="s">
        <v>80</v>
      </c>
      <c r="H43" s="18"/>
      <c r="I43" s="18">
        <v>307</v>
      </c>
      <c r="J43" s="18"/>
      <c r="K43" s="18">
        <v>1</v>
      </c>
      <c r="L43" s="18">
        <v>103</v>
      </c>
      <c r="M43" s="18">
        <v>102</v>
      </c>
      <c r="N43" s="18">
        <v>12</v>
      </c>
      <c r="O43" s="17" t="s">
        <v>678</v>
      </c>
      <c r="P43" s="38" t="s">
        <v>679</v>
      </c>
      <c r="Q43" s="17" t="s">
        <v>680</v>
      </c>
      <c r="R43" s="20" t="s">
        <v>681</v>
      </c>
      <c r="S43" s="17" t="s">
        <v>682</v>
      </c>
      <c r="T43" s="17" t="s">
        <v>683</v>
      </c>
      <c r="U43" s="5"/>
      <c r="V43" s="19" t="s">
        <v>86</v>
      </c>
      <c r="W43" s="17" t="s">
        <v>38</v>
      </c>
      <c r="X43" s="4" t="s">
        <v>87</v>
      </c>
      <c r="Y43" s="4" t="s">
        <v>170</v>
      </c>
      <c r="Z43" s="2"/>
    </row>
    <row r="44" spans="1:26" ht="19.5" customHeight="1">
      <c r="A44" s="9" t="s">
        <v>684</v>
      </c>
      <c r="B44" s="17" t="s">
        <v>685</v>
      </c>
      <c r="C44" s="17" t="s">
        <v>686</v>
      </c>
      <c r="D44" s="14" t="s">
        <v>28</v>
      </c>
      <c r="E44" s="14" t="s">
        <v>28</v>
      </c>
      <c r="F44" s="18">
        <v>2023</v>
      </c>
      <c r="G44" s="19" t="s">
        <v>687</v>
      </c>
      <c r="H44" s="18">
        <v>103</v>
      </c>
      <c r="I44" s="18"/>
      <c r="J44" s="18">
        <v>103948</v>
      </c>
      <c r="K44" s="18"/>
      <c r="L44" s="18"/>
      <c r="M44" s="18"/>
      <c r="N44" s="18">
        <v>4</v>
      </c>
      <c r="O44" s="17" t="s">
        <v>688</v>
      </c>
      <c r="P44" s="38" t="s">
        <v>689</v>
      </c>
      <c r="Q44" s="17" t="s">
        <v>690</v>
      </c>
      <c r="R44" s="20" t="s">
        <v>691</v>
      </c>
      <c r="S44" s="17" t="s">
        <v>692</v>
      </c>
      <c r="T44" s="17" t="s">
        <v>693</v>
      </c>
      <c r="U44" s="5" t="s">
        <v>694</v>
      </c>
      <c r="V44" s="19" t="s">
        <v>695</v>
      </c>
      <c r="W44" s="17" t="s">
        <v>38</v>
      </c>
      <c r="X44" s="4" t="s">
        <v>696</v>
      </c>
      <c r="Y44" s="4" t="s">
        <v>40</v>
      </c>
      <c r="Z44" s="2"/>
    </row>
    <row r="45" spans="1:26" ht="19.5" customHeight="1">
      <c r="A45" s="9" t="s">
        <v>707</v>
      </c>
      <c r="B45" s="17" t="s">
        <v>708</v>
      </c>
      <c r="C45" s="17" t="s">
        <v>709</v>
      </c>
      <c r="D45" s="14" t="s">
        <v>28</v>
      </c>
      <c r="E45" s="14" t="s">
        <v>28</v>
      </c>
      <c r="F45" s="18">
        <v>2020</v>
      </c>
      <c r="G45" s="19" t="s">
        <v>710</v>
      </c>
      <c r="H45" s="18">
        <v>12</v>
      </c>
      <c r="I45" s="18">
        <v>2</v>
      </c>
      <c r="J45" s="18">
        <v>683</v>
      </c>
      <c r="K45" s="18"/>
      <c r="L45" s="18"/>
      <c r="M45" s="18"/>
      <c r="N45" s="18">
        <v>19</v>
      </c>
      <c r="O45" s="17" t="s">
        <v>711</v>
      </c>
      <c r="P45" s="38" t="s">
        <v>712</v>
      </c>
      <c r="Q45" s="17" t="s">
        <v>713</v>
      </c>
      <c r="R45" s="20" t="s">
        <v>714</v>
      </c>
      <c r="S45" s="17" t="s">
        <v>715</v>
      </c>
      <c r="T45" s="17" t="s">
        <v>716</v>
      </c>
      <c r="U45" s="5" t="s">
        <v>717</v>
      </c>
      <c r="V45" s="19" t="s">
        <v>718</v>
      </c>
      <c r="W45" s="17" t="s">
        <v>38</v>
      </c>
      <c r="X45" s="4" t="s">
        <v>719</v>
      </c>
      <c r="Y45" s="4" t="s">
        <v>40</v>
      </c>
      <c r="Z45" s="2"/>
    </row>
    <row r="46" spans="1:26" ht="19.5" customHeight="1">
      <c r="A46" s="9" t="s">
        <v>733</v>
      </c>
      <c r="B46" s="17" t="s">
        <v>734</v>
      </c>
      <c r="C46" s="17" t="s">
        <v>735</v>
      </c>
      <c r="D46" s="14" t="s">
        <v>28</v>
      </c>
      <c r="E46" s="14" t="s">
        <v>28</v>
      </c>
      <c r="F46" s="18">
        <v>2019</v>
      </c>
      <c r="G46" s="19" t="s">
        <v>80</v>
      </c>
      <c r="H46" s="18"/>
      <c r="I46" s="18">
        <v>317</v>
      </c>
      <c r="J46" s="18"/>
      <c r="K46" s="18">
        <v>1</v>
      </c>
      <c r="L46" s="18">
        <v>116</v>
      </c>
      <c r="M46" s="18">
        <v>115</v>
      </c>
      <c r="N46" s="18">
        <v>19</v>
      </c>
      <c r="O46" s="17" t="s">
        <v>736</v>
      </c>
      <c r="P46" s="38" t="s">
        <v>737</v>
      </c>
      <c r="Q46" s="17" t="s">
        <v>738</v>
      </c>
      <c r="R46" s="17" t="s">
        <v>739</v>
      </c>
      <c r="S46" s="17" t="s">
        <v>740</v>
      </c>
      <c r="T46" s="17" t="s">
        <v>741</v>
      </c>
      <c r="U46" s="5"/>
      <c r="V46" s="19" t="s">
        <v>86</v>
      </c>
      <c r="W46" s="17" t="s">
        <v>38</v>
      </c>
      <c r="X46" s="4" t="s">
        <v>87</v>
      </c>
      <c r="Y46" s="4" t="s">
        <v>170</v>
      </c>
      <c r="Z46" s="2"/>
    </row>
    <row r="47" spans="1:26" ht="19.5" customHeight="1">
      <c r="A47" s="9" t="s">
        <v>755</v>
      </c>
      <c r="B47" s="17" t="s">
        <v>756</v>
      </c>
      <c r="C47" s="17" t="s">
        <v>757</v>
      </c>
      <c r="D47" s="14" t="s">
        <v>28</v>
      </c>
      <c r="E47" s="14" t="s">
        <v>28</v>
      </c>
      <c r="F47" s="18">
        <v>2011</v>
      </c>
      <c r="G47" s="19" t="s">
        <v>80</v>
      </c>
      <c r="H47" s="18"/>
      <c r="I47" s="18">
        <v>163</v>
      </c>
      <c r="J47" s="18"/>
      <c r="K47" s="18">
        <v>1</v>
      </c>
      <c r="L47" s="18">
        <v>101</v>
      </c>
      <c r="M47" s="18">
        <v>100</v>
      </c>
      <c r="N47" s="18">
        <v>1</v>
      </c>
      <c r="O47" s="18"/>
      <c r="P47" s="38" t="s">
        <v>758</v>
      </c>
      <c r="Q47" s="17" t="s">
        <v>759</v>
      </c>
      <c r="R47" s="17" t="s">
        <v>760</v>
      </c>
      <c r="S47" s="17" t="s">
        <v>761</v>
      </c>
      <c r="T47" s="17" t="s">
        <v>762</v>
      </c>
      <c r="U47" s="5"/>
      <c r="V47" s="19" t="s">
        <v>86</v>
      </c>
      <c r="W47" s="17" t="s">
        <v>38</v>
      </c>
      <c r="X47" s="4" t="s">
        <v>87</v>
      </c>
      <c r="Y47" s="4" t="s">
        <v>170</v>
      </c>
      <c r="Z47" s="2"/>
    </row>
    <row r="48" spans="1:26" ht="19.5" customHeight="1">
      <c r="A48" s="9" t="s">
        <v>774</v>
      </c>
      <c r="B48" s="17" t="s">
        <v>775</v>
      </c>
      <c r="C48" s="17" t="s">
        <v>776</v>
      </c>
      <c r="D48" s="14" t="s">
        <v>28</v>
      </c>
      <c r="E48" s="14" t="s">
        <v>28</v>
      </c>
      <c r="F48" s="18">
        <v>2021</v>
      </c>
      <c r="G48" s="19" t="s">
        <v>384</v>
      </c>
      <c r="H48" s="18">
        <v>9</v>
      </c>
      <c r="I48" s="18">
        <v>2</v>
      </c>
      <c r="J48" s="18"/>
      <c r="K48" s="18">
        <v>41</v>
      </c>
      <c r="L48" s="18">
        <v>61</v>
      </c>
      <c r="M48" s="18">
        <v>20</v>
      </c>
      <c r="N48" s="18">
        <v>7</v>
      </c>
      <c r="O48" s="17" t="s">
        <v>777</v>
      </c>
      <c r="P48" s="38" t="s">
        <v>778</v>
      </c>
      <c r="Q48" s="17" t="s">
        <v>779</v>
      </c>
      <c r="R48" s="17" t="s">
        <v>780</v>
      </c>
      <c r="S48" s="17" t="s">
        <v>781</v>
      </c>
      <c r="T48" s="17" t="s">
        <v>782</v>
      </c>
      <c r="U48" s="5" t="s">
        <v>783</v>
      </c>
      <c r="V48" s="19" t="s">
        <v>392</v>
      </c>
      <c r="W48" s="17" t="s">
        <v>38</v>
      </c>
      <c r="X48" s="4" t="s">
        <v>393</v>
      </c>
      <c r="Y48" s="4" t="s">
        <v>40</v>
      </c>
      <c r="Z48" s="2"/>
    </row>
    <row r="49" spans="1:26" ht="19.5" customHeight="1">
      <c r="A49" s="5" t="s">
        <v>784</v>
      </c>
      <c r="B49" s="5" t="s">
        <v>785</v>
      </c>
      <c r="C49" s="5" t="s">
        <v>786</v>
      </c>
      <c r="D49" s="14" t="s">
        <v>28</v>
      </c>
      <c r="E49" s="14" t="s">
        <v>28</v>
      </c>
      <c r="F49" s="5">
        <v>2019</v>
      </c>
      <c r="G49" s="5" t="s">
        <v>787</v>
      </c>
      <c r="H49" s="5">
        <v>29</v>
      </c>
      <c r="I49" s="5">
        <v>4</v>
      </c>
      <c r="J49" s="5" t="s">
        <v>30</v>
      </c>
      <c r="K49" s="5">
        <v>670</v>
      </c>
      <c r="L49" s="5">
        <v>692</v>
      </c>
      <c r="M49" s="5">
        <v>23</v>
      </c>
      <c r="N49" s="5">
        <v>7</v>
      </c>
      <c r="O49" s="5" t="s">
        <v>788</v>
      </c>
      <c r="P49" s="15" t="str">
        <f>HYPERLINK("http://dx.doi.org/10.1080/10511482.2019.1582548","http://dx.doi.org/10.1080/10511482.2019.1582548")</f>
        <v>http://dx.doi.org/10.1080/10511482.2019.1582548</v>
      </c>
      <c r="Q49" s="5" t="s">
        <v>789</v>
      </c>
      <c r="R49" s="25" t="s">
        <v>790</v>
      </c>
      <c r="S49" s="5" t="s">
        <v>791</v>
      </c>
      <c r="T49" s="5" t="s">
        <v>792</v>
      </c>
      <c r="U49" s="5" t="s">
        <v>793</v>
      </c>
      <c r="V49" s="5" t="s">
        <v>122</v>
      </c>
      <c r="W49" s="5" t="s">
        <v>38</v>
      </c>
      <c r="X49" s="3" t="s">
        <v>794</v>
      </c>
      <c r="Y49" s="3" t="s">
        <v>40</v>
      </c>
      <c r="Z49" s="2"/>
    </row>
    <row r="50" spans="1:26" ht="19.5" customHeight="1">
      <c r="A50" s="9" t="s">
        <v>795</v>
      </c>
      <c r="B50" s="17" t="s">
        <v>796</v>
      </c>
      <c r="C50" s="17" t="s">
        <v>797</v>
      </c>
      <c r="D50" s="14" t="s">
        <v>28</v>
      </c>
      <c r="E50" s="14" t="s">
        <v>28</v>
      </c>
      <c r="F50" s="18">
        <v>2015</v>
      </c>
      <c r="G50" s="19" t="s">
        <v>798</v>
      </c>
      <c r="H50" s="18">
        <v>8</v>
      </c>
      <c r="I50" s="18">
        <v>3</v>
      </c>
      <c r="J50" s="18"/>
      <c r="K50" s="18">
        <v>86</v>
      </c>
      <c r="L50" s="18">
        <v>94</v>
      </c>
      <c r="M50" s="18">
        <v>8</v>
      </c>
      <c r="N50" s="18">
        <v>5</v>
      </c>
      <c r="O50" s="17" t="s">
        <v>799</v>
      </c>
      <c r="P50" s="38" t="s">
        <v>800</v>
      </c>
      <c r="Q50" s="17" t="s">
        <v>801</v>
      </c>
      <c r="R50" s="17" t="s">
        <v>802</v>
      </c>
      <c r="S50" s="17" t="s">
        <v>803</v>
      </c>
      <c r="T50" s="18"/>
      <c r="U50" s="5" t="s">
        <v>804</v>
      </c>
      <c r="V50" s="19" t="s">
        <v>805</v>
      </c>
      <c r="W50" s="17" t="s">
        <v>38</v>
      </c>
      <c r="X50" s="4" t="s">
        <v>806</v>
      </c>
      <c r="Y50" s="4" t="s">
        <v>40</v>
      </c>
      <c r="Z50" s="2"/>
    </row>
    <row r="51" spans="1:26" ht="19.5" customHeight="1">
      <c r="A51" s="9" t="s">
        <v>830</v>
      </c>
      <c r="B51" s="17" t="s">
        <v>831</v>
      </c>
      <c r="C51" s="17" t="s">
        <v>832</v>
      </c>
      <c r="D51" s="14" t="s">
        <v>28</v>
      </c>
      <c r="E51" s="14" t="s">
        <v>28</v>
      </c>
      <c r="F51" s="18">
        <v>2018</v>
      </c>
      <c r="G51" s="19" t="s">
        <v>127</v>
      </c>
      <c r="H51" s="18">
        <v>18</v>
      </c>
      <c r="I51" s="18">
        <v>1</v>
      </c>
      <c r="J51" s="18"/>
      <c r="K51" s="18">
        <v>82</v>
      </c>
      <c r="L51" s="18">
        <v>102</v>
      </c>
      <c r="M51" s="18">
        <v>20</v>
      </c>
      <c r="N51" s="18">
        <v>20</v>
      </c>
      <c r="O51" s="17" t="s">
        <v>833</v>
      </c>
      <c r="P51" s="38" t="s">
        <v>834</v>
      </c>
      <c r="Q51" s="17" t="s">
        <v>835</v>
      </c>
      <c r="R51" s="17" t="s">
        <v>836</v>
      </c>
      <c r="S51" s="17" t="s">
        <v>837</v>
      </c>
      <c r="T51" s="17" t="s">
        <v>838</v>
      </c>
      <c r="U51" s="5" t="s">
        <v>839</v>
      </c>
      <c r="V51" s="19" t="s">
        <v>135</v>
      </c>
      <c r="W51" s="17" t="s">
        <v>38</v>
      </c>
      <c r="X51" s="4" t="s">
        <v>136</v>
      </c>
      <c r="Y51" s="4" t="s">
        <v>40</v>
      </c>
      <c r="Z51" s="2"/>
    </row>
    <row r="52" spans="1:26" ht="19.5" customHeight="1">
      <c r="A52" s="9" t="s">
        <v>851</v>
      </c>
      <c r="B52" s="17" t="s">
        <v>852</v>
      </c>
      <c r="C52" s="17" t="s">
        <v>853</v>
      </c>
      <c r="D52" s="14" t="s">
        <v>28</v>
      </c>
      <c r="E52" s="14" t="s">
        <v>28</v>
      </c>
      <c r="F52" s="18">
        <v>2003</v>
      </c>
      <c r="G52" s="19" t="s">
        <v>854</v>
      </c>
      <c r="H52" s="18">
        <v>27</v>
      </c>
      <c r="I52" s="18">
        <v>4</v>
      </c>
      <c r="J52" s="18"/>
      <c r="K52" s="18">
        <v>912</v>
      </c>
      <c r="L52" s="18">
        <v>937</v>
      </c>
      <c r="M52" s="18">
        <v>25</v>
      </c>
      <c r="N52" s="18">
        <v>258</v>
      </c>
      <c r="O52" s="17" t="s">
        <v>855</v>
      </c>
      <c r="P52" s="38" t="s">
        <v>856</v>
      </c>
      <c r="Q52" s="17" t="s">
        <v>857</v>
      </c>
      <c r="R52" s="17" t="s">
        <v>858</v>
      </c>
      <c r="S52" s="17" t="s">
        <v>859</v>
      </c>
      <c r="T52" s="18"/>
      <c r="U52" s="5" t="s">
        <v>860</v>
      </c>
      <c r="V52" s="19" t="s">
        <v>861</v>
      </c>
      <c r="W52" s="17" t="s">
        <v>38</v>
      </c>
      <c r="X52" s="4" t="s">
        <v>862</v>
      </c>
      <c r="Y52" s="4" t="s">
        <v>40</v>
      </c>
      <c r="Z52" s="2"/>
    </row>
    <row r="53" spans="1:26" ht="19.5" customHeight="1">
      <c r="A53" s="9" t="s">
        <v>892</v>
      </c>
      <c r="B53" s="17" t="s">
        <v>893</v>
      </c>
      <c r="C53" s="17" t="s">
        <v>894</v>
      </c>
      <c r="D53" s="14" t="s">
        <v>28</v>
      </c>
      <c r="E53" s="14" t="s">
        <v>28</v>
      </c>
      <c r="F53" s="18">
        <v>2011</v>
      </c>
      <c r="G53" s="19" t="s">
        <v>895</v>
      </c>
      <c r="H53" s="18">
        <v>48</v>
      </c>
      <c r="I53" s="18">
        <v>6</v>
      </c>
      <c r="J53" s="18"/>
      <c r="K53" s="18">
        <v>1217</v>
      </c>
      <c r="L53" s="18">
        <v>1233</v>
      </c>
      <c r="M53" s="18">
        <v>16</v>
      </c>
      <c r="N53" s="18">
        <v>19</v>
      </c>
      <c r="O53" s="17" t="s">
        <v>896</v>
      </c>
      <c r="P53" s="38" t="s">
        <v>897</v>
      </c>
      <c r="Q53" s="17" t="s">
        <v>898</v>
      </c>
      <c r="R53" s="17" t="s">
        <v>899</v>
      </c>
      <c r="S53" s="17" t="s">
        <v>900</v>
      </c>
      <c r="T53" s="18"/>
      <c r="U53" s="5" t="s">
        <v>901</v>
      </c>
      <c r="V53" s="22"/>
      <c r="W53" s="17" t="s">
        <v>38</v>
      </c>
      <c r="X53" s="4" t="s">
        <v>902</v>
      </c>
      <c r="Y53" s="4" t="s">
        <v>40</v>
      </c>
      <c r="Z53" s="2"/>
    </row>
    <row r="54" spans="1:26" ht="19.5" customHeight="1">
      <c r="A54" s="9" t="s">
        <v>903</v>
      </c>
      <c r="B54" s="17" t="s">
        <v>904</v>
      </c>
      <c r="C54" s="17" t="s">
        <v>905</v>
      </c>
      <c r="D54" s="14" t="s">
        <v>28</v>
      </c>
      <c r="E54" s="14" t="s">
        <v>28</v>
      </c>
      <c r="F54" s="18">
        <v>2019</v>
      </c>
      <c r="G54" s="19" t="s">
        <v>581</v>
      </c>
      <c r="H54" s="18">
        <v>37</v>
      </c>
      <c r="I54" s="18">
        <v>2</v>
      </c>
      <c r="J54" s="18"/>
      <c r="K54" s="18">
        <v>135</v>
      </c>
      <c r="L54" s="18">
        <v>150</v>
      </c>
      <c r="M54" s="18">
        <v>15</v>
      </c>
      <c r="N54" s="18">
        <v>11</v>
      </c>
      <c r="O54" s="17" t="s">
        <v>906</v>
      </c>
      <c r="P54" s="38" t="s">
        <v>907</v>
      </c>
      <c r="Q54" s="17" t="s">
        <v>908</v>
      </c>
      <c r="R54" s="17" t="s">
        <v>909</v>
      </c>
      <c r="S54" s="17" t="s">
        <v>910</v>
      </c>
      <c r="T54" s="17" t="s">
        <v>911</v>
      </c>
      <c r="U54" s="5"/>
      <c r="V54" s="19" t="s">
        <v>135</v>
      </c>
      <c r="W54" s="17" t="s">
        <v>38</v>
      </c>
      <c r="X54" s="4" t="s">
        <v>585</v>
      </c>
      <c r="Y54" s="4" t="s">
        <v>40</v>
      </c>
      <c r="Z54" s="2"/>
    </row>
    <row r="55" spans="1:26" ht="19.5" customHeight="1">
      <c r="A55" s="9" t="s">
        <v>912</v>
      </c>
      <c r="B55" s="17" t="s">
        <v>913</v>
      </c>
      <c r="C55" s="17" t="s">
        <v>914</v>
      </c>
      <c r="D55" s="14" t="s">
        <v>28</v>
      </c>
      <c r="E55" s="14" t="s">
        <v>28</v>
      </c>
      <c r="F55" s="18">
        <v>2011</v>
      </c>
      <c r="G55" s="19" t="s">
        <v>237</v>
      </c>
      <c r="H55" s="18">
        <v>4</v>
      </c>
      <c r="I55" s="18">
        <v>4</v>
      </c>
      <c r="J55" s="18"/>
      <c r="K55" s="18">
        <v>369</v>
      </c>
      <c r="L55" s="18">
        <v>393</v>
      </c>
      <c r="M55" s="18">
        <v>24</v>
      </c>
      <c r="N55" s="18">
        <v>4</v>
      </c>
      <c r="O55" s="17" t="s">
        <v>915</v>
      </c>
      <c r="P55" s="38" t="s">
        <v>916</v>
      </c>
      <c r="Q55" s="17" t="s">
        <v>917</v>
      </c>
      <c r="R55" s="17" t="s">
        <v>918</v>
      </c>
      <c r="S55" s="17" t="s">
        <v>919</v>
      </c>
      <c r="T55" s="17" t="s">
        <v>920</v>
      </c>
      <c r="U55" s="5"/>
      <c r="V55" s="22"/>
      <c r="W55" s="17" t="s">
        <v>38</v>
      </c>
      <c r="X55" s="4" t="s">
        <v>244</v>
      </c>
      <c r="Y55" s="4" t="s">
        <v>40</v>
      </c>
      <c r="Z55" s="2"/>
    </row>
    <row r="56" spans="1:26" ht="19.5" customHeight="1">
      <c r="A56" s="9" t="s">
        <v>921</v>
      </c>
      <c r="B56" s="17" t="s">
        <v>922</v>
      </c>
      <c r="C56" s="17" t="s">
        <v>923</v>
      </c>
      <c r="D56" s="14" t="s">
        <v>28</v>
      </c>
      <c r="E56" s="14" t="s">
        <v>28</v>
      </c>
      <c r="F56" s="18">
        <v>2024</v>
      </c>
      <c r="G56" s="19" t="s">
        <v>924</v>
      </c>
      <c r="H56" s="18">
        <v>16</v>
      </c>
      <c r="I56" s="18">
        <v>7</v>
      </c>
      <c r="J56" s="18">
        <v>2803</v>
      </c>
      <c r="K56" s="18"/>
      <c r="L56" s="18"/>
      <c r="M56" s="18"/>
      <c r="N56" s="18">
        <v>4</v>
      </c>
      <c r="O56" s="17" t="s">
        <v>925</v>
      </c>
      <c r="P56" s="38" t="s">
        <v>926</v>
      </c>
      <c r="Q56" s="17" t="s">
        <v>927</v>
      </c>
      <c r="R56" s="17" t="s">
        <v>928</v>
      </c>
      <c r="S56" s="17" t="s">
        <v>929</v>
      </c>
      <c r="T56" s="17" t="s">
        <v>930</v>
      </c>
      <c r="U56" s="5" t="s">
        <v>931</v>
      </c>
      <c r="V56" s="19" t="s">
        <v>932</v>
      </c>
      <c r="W56" s="17" t="s">
        <v>38</v>
      </c>
      <c r="X56" s="4" t="s">
        <v>719</v>
      </c>
      <c r="Y56" s="4" t="s">
        <v>170</v>
      </c>
      <c r="Z56" s="2"/>
    </row>
    <row r="57" spans="1:26" ht="19.5" customHeight="1">
      <c r="A57" s="5" t="s">
        <v>943</v>
      </c>
      <c r="B57" s="5" t="s">
        <v>944</v>
      </c>
      <c r="C57" s="5" t="s">
        <v>945</v>
      </c>
      <c r="D57" s="14" t="s">
        <v>28</v>
      </c>
      <c r="E57" s="14" t="s">
        <v>28</v>
      </c>
      <c r="F57" s="5">
        <v>2021</v>
      </c>
      <c r="G57" s="5" t="s">
        <v>946</v>
      </c>
      <c r="H57" s="5">
        <v>147</v>
      </c>
      <c r="I57" s="5">
        <v>1</v>
      </c>
      <c r="J57" s="5">
        <v>5020030</v>
      </c>
      <c r="K57" s="5" t="s">
        <v>30</v>
      </c>
      <c r="L57" s="5" t="s">
        <v>30</v>
      </c>
      <c r="M57" s="5">
        <v>13</v>
      </c>
      <c r="N57" s="5">
        <v>3</v>
      </c>
      <c r="O57" s="5" t="s">
        <v>947</v>
      </c>
      <c r="P57" s="15" t="str">
        <f>HYPERLINK("http://dx.doi.org/10.1061/(ASCE)UP.1943-5444.0000633","http://dx.doi.org/10.1061/(ASCE)UP.1943-5444.0000633")</f>
        <v>http://dx.doi.org/10.1061/(ASCE)UP.1943-5444.0000633</v>
      </c>
      <c r="Q57" s="5" t="s">
        <v>948</v>
      </c>
      <c r="R57" s="25" t="s">
        <v>949</v>
      </c>
      <c r="S57" s="5" t="s">
        <v>950</v>
      </c>
      <c r="T57" s="5" t="s">
        <v>951</v>
      </c>
      <c r="U57" s="5" t="s">
        <v>952</v>
      </c>
      <c r="V57" s="5" t="s">
        <v>953</v>
      </c>
      <c r="W57" s="5" t="s">
        <v>38</v>
      </c>
      <c r="X57" s="3" t="s">
        <v>954</v>
      </c>
      <c r="Y57" s="3" t="s">
        <v>40</v>
      </c>
      <c r="Z57" s="2"/>
    </row>
    <row r="58" spans="1:26" ht="19.5" customHeight="1">
      <c r="A58" s="5" t="s">
        <v>955</v>
      </c>
      <c r="B58" s="5" t="s">
        <v>956</v>
      </c>
      <c r="C58" s="5" t="s">
        <v>957</v>
      </c>
      <c r="D58" s="14" t="s">
        <v>28</v>
      </c>
      <c r="E58" s="14" t="s">
        <v>28</v>
      </c>
      <c r="F58" s="5">
        <v>2023</v>
      </c>
      <c r="G58" s="5" t="s">
        <v>958</v>
      </c>
      <c r="H58" s="5">
        <v>13</v>
      </c>
      <c r="I58" s="5">
        <v>9</v>
      </c>
      <c r="J58" s="5">
        <v>2229</v>
      </c>
      <c r="K58" s="5" t="s">
        <v>30</v>
      </c>
      <c r="L58" s="5" t="s">
        <v>30</v>
      </c>
      <c r="M58" s="5">
        <v>25</v>
      </c>
      <c r="N58" s="5">
        <v>1</v>
      </c>
      <c r="O58" s="5" t="s">
        <v>959</v>
      </c>
      <c r="P58" s="15" t="str">
        <f>HYPERLINK("http://dx.doi.org/10.3390/buildings13092229","http://dx.doi.org/10.3390/buildings13092229")</f>
        <v>http://dx.doi.org/10.3390/buildings13092229</v>
      </c>
      <c r="Q58" s="5" t="s">
        <v>960</v>
      </c>
      <c r="R58" s="25" t="s">
        <v>961</v>
      </c>
      <c r="S58" s="5" t="s">
        <v>962</v>
      </c>
      <c r="T58" s="5" t="s">
        <v>963</v>
      </c>
      <c r="U58" s="5" t="s">
        <v>964</v>
      </c>
      <c r="V58" s="5" t="s">
        <v>718</v>
      </c>
      <c r="W58" s="5" t="s">
        <v>38</v>
      </c>
      <c r="X58" s="3" t="s">
        <v>965</v>
      </c>
      <c r="Y58" s="3" t="s">
        <v>40</v>
      </c>
      <c r="Z58" s="2"/>
    </row>
    <row r="59" spans="1:26" ht="19.5" customHeight="1">
      <c r="A59" s="9" t="s">
        <v>966</v>
      </c>
      <c r="B59" s="17" t="s">
        <v>967</v>
      </c>
      <c r="C59" s="17" t="s">
        <v>968</v>
      </c>
      <c r="D59" s="14" t="s">
        <v>28</v>
      </c>
      <c r="E59" s="14" t="s">
        <v>28</v>
      </c>
      <c r="F59" s="18">
        <v>2008</v>
      </c>
      <c r="G59" s="19" t="s">
        <v>787</v>
      </c>
      <c r="H59" s="18">
        <v>19</v>
      </c>
      <c r="I59" s="18">
        <v>4</v>
      </c>
      <c r="J59" s="18"/>
      <c r="K59" s="18">
        <v>741</v>
      </c>
      <c r="L59" s="18">
        <v>774</v>
      </c>
      <c r="M59" s="18">
        <v>33</v>
      </c>
      <c r="N59" s="18">
        <v>33</v>
      </c>
      <c r="O59" s="17" t="s">
        <v>969</v>
      </c>
      <c r="P59" s="38" t="s">
        <v>970</v>
      </c>
      <c r="Q59" s="17" t="s">
        <v>971</v>
      </c>
      <c r="R59" s="17" t="s">
        <v>972</v>
      </c>
      <c r="S59" s="17" t="s">
        <v>973</v>
      </c>
      <c r="T59" s="17" t="s">
        <v>974</v>
      </c>
      <c r="U59" s="5"/>
      <c r="V59" s="19" t="s">
        <v>135</v>
      </c>
      <c r="W59" s="17" t="s">
        <v>38</v>
      </c>
      <c r="X59" s="4" t="s">
        <v>794</v>
      </c>
      <c r="Y59" s="4" t="s">
        <v>40</v>
      </c>
      <c r="Z59" s="2"/>
    </row>
    <row r="60" spans="1:26" ht="19.5" customHeight="1">
      <c r="A60" s="9" t="s">
        <v>985</v>
      </c>
      <c r="B60" s="17" t="s">
        <v>986</v>
      </c>
      <c r="C60" s="17" t="s">
        <v>987</v>
      </c>
      <c r="D60" s="14" t="s">
        <v>28</v>
      </c>
      <c r="E60" s="14" t="s">
        <v>28</v>
      </c>
      <c r="F60" s="18">
        <v>2024</v>
      </c>
      <c r="G60" s="19" t="s">
        <v>988</v>
      </c>
      <c r="H60" s="18">
        <v>21</v>
      </c>
      <c r="I60" s="18">
        <v>1</v>
      </c>
      <c r="J60" s="18"/>
      <c r="K60" s="18">
        <v>303</v>
      </c>
      <c r="L60" s="18">
        <v>316</v>
      </c>
      <c r="M60" s="18">
        <v>13</v>
      </c>
      <c r="N60" s="18">
        <v>0</v>
      </c>
      <c r="O60" s="18"/>
      <c r="P60" s="38" t="s">
        <v>989</v>
      </c>
      <c r="Q60" s="17" t="s">
        <v>990</v>
      </c>
      <c r="R60" s="17" t="s">
        <v>991</v>
      </c>
      <c r="S60" s="17" t="s">
        <v>992</v>
      </c>
      <c r="T60" s="17" t="s">
        <v>993</v>
      </c>
      <c r="U60" s="5"/>
      <c r="V60" s="19" t="s">
        <v>994</v>
      </c>
      <c r="W60" s="17" t="s">
        <v>38</v>
      </c>
      <c r="X60" s="4" t="s">
        <v>995</v>
      </c>
      <c r="Y60" s="4" t="s">
        <v>40</v>
      </c>
      <c r="Z60" s="2"/>
    </row>
    <row r="61" spans="1:26" ht="19.5" customHeight="1">
      <c r="A61" s="9" t="s">
        <v>996</v>
      </c>
      <c r="B61" s="17" t="s">
        <v>997</v>
      </c>
      <c r="C61" s="17" t="s">
        <v>998</v>
      </c>
      <c r="D61" s="14" t="s">
        <v>28</v>
      </c>
      <c r="E61" s="14" t="s">
        <v>28</v>
      </c>
      <c r="F61" s="18">
        <v>2022</v>
      </c>
      <c r="G61" s="19" t="s">
        <v>409</v>
      </c>
      <c r="H61" s="18">
        <v>344</v>
      </c>
      <c r="I61" s="18"/>
      <c r="J61" s="18">
        <v>130956</v>
      </c>
      <c r="K61" s="18"/>
      <c r="L61" s="18"/>
      <c r="M61" s="18"/>
      <c r="N61" s="18">
        <v>11</v>
      </c>
      <c r="O61" s="17" t="s">
        <v>999</v>
      </c>
      <c r="P61" s="38" t="s">
        <v>1000</v>
      </c>
      <c r="Q61" s="17" t="s">
        <v>1001</v>
      </c>
      <c r="R61" s="17" t="s">
        <v>1002</v>
      </c>
      <c r="S61" s="17" t="s">
        <v>1003</v>
      </c>
      <c r="T61" s="17" t="s">
        <v>1004</v>
      </c>
      <c r="U61" s="5" t="s">
        <v>1005</v>
      </c>
      <c r="V61" s="19" t="s">
        <v>212</v>
      </c>
      <c r="W61" s="17" t="s">
        <v>38</v>
      </c>
      <c r="X61" s="4" t="s">
        <v>417</v>
      </c>
      <c r="Y61" s="4" t="s">
        <v>40</v>
      </c>
      <c r="Z61" s="2"/>
    </row>
    <row r="62" spans="1:26" ht="19.5" customHeight="1">
      <c r="A62" s="9" t="s">
        <v>1006</v>
      </c>
      <c r="B62" s="17" t="s">
        <v>1007</v>
      </c>
      <c r="C62" s="17" t="s">
        <v>1008</v>
      </c>
      <c r="D62" s="14" t="s">
        <v>28</v>
      </c>
      <c r="E62" s="14" t="s">
        <v>28</v>
      </c>
      <c r="F62" s="18">
        <v>2019</v>
      </c>
      <c r="G62" s="19" t="s">
        <v>1009</v>
      </c>
      <c r="H62" s="18"/>
      <c r="I62" s="18">
        <v>119</v>
      </c>
      <c r="J62" s="18"/>
      <c r="K62" s="18">
        <v>46</v>
      </c>
      <c r="L62" s="18">
        <v>58</v>
      </c>
      <c r="M62" s="18">
        <v>12</v>
      </c>
      <c r="N62" s="18">
        <v>4</v>
      </c>
      <c r="O62" s="17" t="s">
        <v>1010</v>
      </c>
      <c r="P62" s="38" t="s">
        <v>1011</v>
      </c>
      <c r="Q62" s="17" t="s">
        <v>1012</v>
      </c>
      <c r="R62" s="17" t="s">
        <v>1013</v>
      </c>
      <c r="S62" s="17" t="s">
        <v>1014</v>
      </c>
      <c r="T62" s="17" t="s">
        <v>1015</v>
      </c>
      <c r="U62" s="5"/>
      <c r="V62" s="19" t="s">
        <v>1016</v>
      </c>
      <c r="W62" s="17" t="s">
        <v>38</v>
      </c>
      <c r="X62" s="4" t="s">
        <v>1017</v>
      </c>
      <c r="Y62" s="4" t="s">
        <v>40</v>
      </c>
      <c r="Z62" s="2"/>
    </row>
    <row r="63" spans="1:26" ht="19.5" customHeight="1">
      <c r="A63" s="5" t="s">
        <v>1018</v>
      </c>
      <c r="B63" s="5" t="s">
        <v>1019</v>
      </c>
      <c r="C63" s="5" t="s">
        <v>1020</v>
      </c>
      <c r="D63" s="14" t="s">
        <v>28</v>
      </c>
      <c r="E63" s="14" t="s">
        <v>28</v>
      </c>
      <c r="F63" s="5">
        <v>2024</v>
      </c>
      <c r="G63" s="5" t="s">
        <v>115</v>
      </c>
      <c r="H63" s="5">
        <v>39</v>
      </c>
      <c r="I63" s="5">
        <v>7</v>
      </c>
      <c r="J63" s="5" t="s">
        <v>30</v>
      </c>
      <c r="K63" s="5">
        <v>1632</v>
      </c>
      <c r="L63" s="5">
        <v>1657</v>
      </c>
      <c r="M63" s="5">
        <v>26</v>
      </c>
      <c r="N63" s="5">
        <v>0</v>
      </c>
      <c r="O63" s="5" t="s">
        <v>1021</v>
      </c>
      <c r="P63" s="15" t="str">
        <f>HYPERLINK("http://dx.doi.org/10.1080/02673037.2022.2135172","http://dx.doi.org/10.1080/02673037.2022.2135172")</f>
        <v>http://dx.doi.org/10.1080/02673037.2022.2135172</v>
      </c>
      <c r="Q63" s="5" t="s">
        <v>1022</v>
      </c>
      <c r="R63" s="25" t="s">
        <v>1023</v>
      </c>
      <c r="S63" s="5" t="s">
        <v>1024</v>
      </c>
      <c r="T63" s="5" t="s">
        <v>1025</v>
      </c>
      <c r="U63" s="5" t="s">
        <v>1026</v>
      </c>
      <c r="V63" s="5" t="s">
        <v>122</v>
      </c>
      <c r="W63" s="5" t="s">
        <v>38</v>
      </c>
      <c r="X63" s="3" t="s">
        <v>123</v>
      </c>
      <c r="Y63" s="3" t="s">
        <v>170</v>
      </c>
      <c r="Z63" s="2"/>
    </row>
    <row r="64" spans="1:26" ht="19.5" customHeight="1">
      <c r="A64" s="9" t="s">
        <v>1027</v>
      </c>
      <c r="B64" s="17" t="s">
        <v>1028</v>
      </c>
      <c r="C64" s="17" t="s">
        <v>1029</v>
      </c>
      <c r="D64" s="14" t="s">
        <v>28</v>
      </c>
      <c r="E64" s="14" t="s">
        <v>28</v>
      </c>
      <c r="F64" s="18">
        <v>2010</v>
      </c>
      <c r="G64" s="19" t="s">
        <v>1030</v>
      </c>
      <c r="H64" s="18">
        <v>31</v>
      </c>
      <c r="I64" s="18">
        <v>5</v>
      </c>
      <c r="J64" s="18"/>
      <c r="K64" s="18">
        <v>577</v>
      </c>
      <c r="L64" s="18">
        <v>590</v>
      </c>
      <c r="M64" s="18">
        <v>13</v>
      </c>
      <c r="N64" s="18">
        <v>25</v>
      </c>
      <c r="O64" s="17" t="s">
        <v>1031</v>
      </c>
      <c r="P64" s="38" t="s">
        <v>1032</v>
      </c>
      <c r="Q64" s="17" t="s">
        <v>1033</v>
      </c>
      <c r="R64" s="17" t="s">
        <v>1034</v>
      </c>
      <c r="S64" s="17" t="s">
        <v>1035</v>
      </c>
      <c r="T64" s="17" t="s">
        <v>1036</v>
      </c>
      <c r="U64" s="5"/>
      <c r="V64" s="22"/>
      <c r="W64" s="17" t="s">
        <v>38</v>
      </c>
      <c r="X64" s="4" t="s">
        <v>1037</v>
      </c>
      <c r="Y64" s="4" t="s">
        <v>40</v>
      </c>
      <c r="Z64" s="2"/>
    </row>
    <row r="65" spans="1:26" ht="19.5" customHeight="1">
      <c r="A65" s="9" t="s">
        <v>1038</v>
      </c>
      <c r="B65" s="17" t="s">
        <v>1039</v>
      </c>
      <c r="C65" s="17" t="s">
        <v>1040</v>
      </c>
      <c r="D65" s="14" t="s">
        <v>28</v>
      </c>
      <c r="E65" s="14" t="s">
        <v>28</v>
      </c>
      <c r="F65" s="18">
        <v>2020</v>
      </c>
      <c r="G65" s="19" t="s">
        <v>1041</v>
      </c>
      <c r="H65" s="18">
        <v>42</v>
      </c>
      <c r="I65" s="18">
        <v>7</v>
      </c>
      <c r="J65" s="18"/>
      <c r="K65" s="18">
        <v>975</v>
      </c>
      <c r="L65" s="18">
        <v>997</v>
      </c>
      <c r="M65" s="18">
        <v>22</v>
      </c>
      <c r="N65" s="18">
        <v>74</v>
      </c>
      <c r="O65" s="17" t="s">
        <v>1042</v>
      </c>
      <c r="P65" s="38" t="s">
        <v>1043</v>
      </c>
      <c r="Q65" s="17" t="s">
        <v>1044</v>
      </c>
      <c r="R65" s="17" t="s">
        <v>1045</v>
      </c>
      <c r="S65" s="17" t="s">
        <v>1046</v>
      </c>
      <c r="T65" s="18"/>
      <c r="U65" s="5" t="s">
        <v>1047</v>
      </c>
      <c r="V65" s="19" t="s">
        <v>64</v>
      </c>
      <c r="W65" s="17" t="s">
        <v>38</v>
      </c>
      <c r="X65" s="4" t="s">
        <v>1048</v>
      </c>
      <c r="Y65" s="4" t="s">
        <v>40</v>
      </c>
      <c r="Z65" s="2"/>
    </row>
    <row r="66" spans="1:26" ht="19.5" customHeight="1">
      <c r="A66" s="9" t="s">
        <v>1062</v>
      </c>
      <c r="B66" s="17" t="s">
        <v>1063</v>
      </c>
      <c r="C66" s="17" t="s">
        <v>1064</v>
      </c>
      <c r="D66" s="14" t="s">
        <v>28</v>
      </c>
      <c r="E66" s="14" t="s">
        <v>28</v>
      </c>
      <c r="F66" s="18">
        <v>2020</v>
      </c>
      <c r="G66" s="19" t="s">
        <v>687</v>
      </c>
      <c r="H66" s="18">
        <v>80</v>
      </c>
      <c r="I66" s="18"/>
      <c r="J66" s="18">
        <v>103376</v>
      </c>
      <c r="K66" s="18"/>
      <c r="L66" s="18"/>
      <c r="M66" s="18"/>
      <c r="N66" s="18">
        <v>2</v>
      </c>
      <c r="O66" s="17" t="s">
        <v>1065</v>
      </c>
      <c r="P66" s="38" t="s">
        <v>1066</v>
      </c>
      <c r="Q66" s="17" t="s">
        <v>1067</v>
      </c>
      <c r="R66" s="17" t="s">
        <v>1068</v>
      </c>
      <c r="S66" s="17" t="s">
        <v>1069</v>
      </c>
      <c r="T66" s="17" t="s">
        <v>1070</v>
      </c>
      <c r="U66" s="5" t="s">
        <v>1071</v>
      </c>
      <c r="V66" s="19" t="s">
        <v>695</v>
      </c>
      <c r="W66" s="17" t="s">
        <v>38</v>
      </c>
      <c r="X66" s="4" t="s">
        <v>696</v>
      </c>
      <c r="Y66" s="4" t="s">
        <v>40</v>
      </c>
      <c r="Z66" s="6" t="s">
        <v>1072</v>
      </c>
    </row>
    <row r="67" spans="1:26" ht="19.5" customHeight="1">
      <c r="A67" s="5" t="s">
        <v>1073</v>
      </c>
      <c r="B67" s="5" t="s">
        <v>1074</v>
      </c>
      <c r="C67" s="5" t="s">
        <v>1075</v>
      </c>
      <c r="D67" s="14" t="s">
        <v>28</v>
      </c>
      <c r="E67" s="14" t="s">
        <v>28</v>
      </c>
      <c r="F67" s="5">
        <v>2024</v>
      </c>
      <c r="G67" s="5" t="s">
        <v>115</v>
      </c>
      <c r="H67" s="5">
        <v>39</v>
      </c>
      <c r="I67" s="5">
        <v>9</v>
      </c>
      <c r="J67" s="5" t="s">
        <v>30</v>
      </c>
      <c r="K67" s="5">
        <v>2300</v>
      </c>
      <c r="L67" s="5">
        <v>2324</v>
      </c>
      <c r="M67" s="5">
        <v>25</v>
      </c>
      <c r="N67" s="5">
        <v>25</v>
      </c>
      <c r="O67" s="5" t="s">
        <v>1076</v>
      </c>
      <c r="P67" s="15" t="str">
        <f>HYPERLINK("http://dx.doi.org/10.1080/02673037.2023.2176830","http://dx.doi.org/10.1080/02673037.2023.2176830")</f>
        <v>http://dx.doi.org/10.1080/02673037.2023.2176830</v>
      </c>
      <c r="Q67" s="5" t="s">
        <v>1077</v>
      </c>
      <c r="R67" s="25" t="s">
        <v>1078</v>
      </c>
      <c r="S67" s="5" t="s">
        <v>1079</v>
      </c>
      <c r="T67" s="5" t="s">
        <v>1080</v>
      </c>
      <c r="U67" s="5" t="s">
        <v>1081</v>
      </c>
      <c r="V67" s="5" t="s">
        <v>122</v>
      </c>
      <c r="W67" s="5" t="s">
        <v>38</v>
      </c>
      <c r="X67" s="3" t="s">
        <v>123</v>
      </c>
      <c r="Y67" s="3" t="s">
        <v>40</v>
      </c>
      <c r="Z67" s="2"/>
    </row>
    <row r="68" spans="1:26" ht="19.5" customHeight="1">
      <c r="A68" s="5" t="s">
        <v>1082</v>
      </c>
      <c r="B68" s="5" t="s">
        <v>1083</v>
      </c>
      <c r="C68" s="5" t="s">
        <v>1084</v>
      </c>
      <c r="D68" s="14" t="s">
        <v>28</v>
      </c>
      <c r="E68" s="14" t="s">
        <v>28</v>
      </c>
      <c r="F68" s="5">
        <v>2024</v>
      </c>
      <c r="G68" s="5" t="s">
        <v>1085</v>
      </c>
      <c r="H68" s="5">
        <v>37</v>
      </c>
      <c r="I68" s="5">
        <v>2</v>
      </c>
      <c r="J68" s="5" t="s">
        <v>30</v>
      </c>
      <c r="K68" s="5">
        <v>427</v>
      </c>
      <c r="L68" s="5">
        <v>456</v>
      </c>
      <c r="M68" s="5">
        <v>30</v>
      </c>
      <c r="N68" s="5">
        <v>0</v>
      </c>
      <c r="O68" s="5" t="s">
        <v>1086</v>
      </c>
      <c r="P68" s="15" t="str">
        <f>HYPERLINK("http://dx.doi.org/10.1017/cjlj.2024.11","http://dx.doi.org/10.1017/cjlj.2024.11")</f>
        <v>http://dx.doi.org/10.1017/cjlj.2024.11</v>
      </c>
      <c r="Q68" s="5" t="s">
        <v>1087</v>
      </c>
      <c r="R68" s="25" t="s">
        <v>1088</v>
      </c>
      <c r="S68" s="5" t="s">
        <v>1089</v>
      </c>
      <c r="T68" s="5" t="s">
        <v>1090</v>
      </c>
      <c r="U68" s="5" t="s">
        <v>1091</v>
      </c>
      <c r="V68" s="5" t="s">
        <v>1092</v>
      </c>
      <c r="W68" s="5" t="s">
        <v>38</v>
      </c>
      <c r="X68" s="3" t="s">
        <v>1093</v>
      </c>
      <c r="Y68" s="3" t="s">
        <v>40</v>
      </c>
      <c r="Z68" s="2"/>
    </row>
    <row r="69" spans="1:26" ht="19.5" customHeight="1">
      <c r="A69" s="9" t="s">
        <v>1094</v>
      </c>
      <c r="B69" s="17" t="s">
        <v>1095</v>
      </c>
      <c r="C69" s="17" t="s">
        <v>1096</v>
      </c>
      <c r="D69" s="14" t="s">
        <v>28</v>
      </c>
      <c r="E69" s="14" t="s">
        <v>28</v>
      </c>
      <c r="F69" s="18">
        <v>2017</v>
      </c>
      <c r="G69" s="19" t="s">
        <v>80</v>
      </c>
      <c r="H69" s="18"/>
      <c r="I69" s="18">
        <v>288</v>
      </c>
      <c r="J69" s="18"/>
      <c r="K69" s="18">
        <v>1</v>
      </c>
      <c r="L69" s="18">
        <v>126</v>
      </c>
      <c r="M69" s="18">
        <v>125</v>
      </c>
      <c r="N69" s="18">
        <v>9</v>
      </c>
      <c r="O69" s="17" t="s">
        <v>1097</v>
      </c>
      <c r="P69" s="38" t="s">
        <v>1098</v>
      </c>
      <c r="Q69" s="17" t="s">
        <v>1099</v>
      </c>
      <c r="R69" s="17" t="s">
        <v>1100</v>
      </c>
      <c r="S69" s="17" t="s">
        <v>1101</v>
      </c>
      <c r="T69" s="18"/>
      <c r="U69" s="5"/>
      <c r="V69" s="19" t="s">
        <v>86</v>
      </c>
      <c r="W69" s="17" t="s">
        <v>38</v>
      </c>
      <c r="X69" s="4" t="s">
        <v>87</v>
      </c>
      <c r="Y69" s="4" t="s">
        <v>170</v>
      </c>
      <c r="Z69" s="2"/>
    </row>
    <row r="70" spans="1:26" ht="19.5" customHeight="1">
      <c r="A70" s="9" t="s">
        <v>1102</v>
      </c>
      <c r="B70" s="17" t="s">
        <v>1103</v>
      </c>
      <c r="C70" s="17" t="s">
        <v>1104</v>
      </c>
      <c r="D70" s="14" t="s">
        <v>28</v>
      </c>
      <c r="E70" s="14" t="s">
        <v>28</v>
      </c>
      <c r="F70" s="18">
        <v>2014</v>
      </c>
      <c r="G70" s="19" t="s">
        <v>115</v>
      </c>
      <c r="H70" s="18">
        <v>29</v>
      </c>
      <c r="I70" s="18">
        <v>8</v>
      </c>
      <c r="J70" s="18"/>
      <c r="K70" s="18">
        <v>1073</v>
      </c>
      <c r="L70" s="18">
        <v>1095</v>
      </c>
      <c r="M70" s="18">
        <v>22</v>
      </c>
      <c r="N70" s="18">
        <v>54</v>
      </c>
      <c r="O70" s="17" t="s">
        <v>1105</v>
      </c>
      <c r="P70" s="38" t="s">
        <v>1106</v>
      </c>
      <c r="Q70" s="17" t="s">
        <v>1107</v>
      </c>
      <c r="R70" s="17" t="s">
        <v>1108</v>
      </c>
      <c r="S70" s="17" t="s">
        <v>1109</v>
      </c>
      <c r="T70" s="17" t="s">
        <v>1110</v>
      </c>
      <c r="U70" s="5" t="s">
        <v>1111</v>
      </c>
      <c r="V70" s="19" t="s">
        <v>135</v>
      </c>
      <c r="W70" s="17" t="s">
        <v>38</v>
      </c>
      <c r="X70" s="4" t="s">
        <v>123</v>
      </c>
      <c r="Y70" s="4" t="s">
        <v>40</v>
      </c>
      <c r="Z70" s="6" t="s">
        <v>1072</v>
      </c>
    </row>
    <row r="71" spans="1:26" ht="19.5" customHeight="1">
      <c r="A71" s="27" t="s">
        <v>1123</v>
      </c>
      <c r="B71" s="17" t="s">
        <v>1124</v>
      </c>
      <c r="C71" s="17" t="s">
        <v>1125</v>
      </c>
      <c r="D71" s="14" t="s">
        <v>28</v>
      </c>
      <c r="E71" s="14" t="s">
        <v>28</v>
      </c>
      <c r="F71" s="18">
        <v>2015</v>
      </c>
      <c r="G71" s="19" t="s">
        <v>1126</v>
      </c>
      <c r="H71" s="18">
        <v>162</v>
      </c>
      <c r="I71" s="18"/>
      <c r="J71" s="18"/>
      <c r="K71" s="18">
        <v>1</v>
      </c>
      <c r="L71" s="18">
        <v>72</v>
      </c>
      <c r="M71" s="18">
        <v>71</v>
      </c>
      <c r="N71" s="18">
        <v>2</v>
      </c>
      <c r="O71" s="18"/>
      <c r="P71" s="38" t="s">
        <v>1127</v>
      </c>
      <c r="Q71" s="17" t="s">
        <v>1128</v>
      </c>
      <c r="R71" s="17" t="s">
        <v>1129</v>
      </c>
      <c r="S71" s="17" t="s">
        <v>1130</v>
      </c>
      <c r="T71" s="18"/>
      <c r="U71" s="5"/>
      <c r="V71" s="19" t="s">
        <v>86</v>
      </c>
      <c r="W71" s="17" t="s">
        <v>38</v>
      </c>
      <c r="X71" s="4" t="s">
        <v>1131</v>
      </c>
      <c r="Y71" s="4" t="s">
        <v>170</v>
      </c>
      <c r="Z71" s="2"/>
    </row>
    <row r="72" spans="1:26" ht="19.5" customHeight="1">
      <c r="A72" s="9" t="s">
        <v>1144</v>
      </c>
      <c r="B72" s="17" t="s">
        <v>1145</v>
      </c>
      <c r="C72" s="17" t="s">
        <v>1146</v>
      </c>
      <c r="D72" s="14" t="s">
        <v>28</v>
      </c>
      <c r="E72" s="14" t="s">
        <v>28</v>
      </c>
      <c r="F72" s="18">
        <v>2014</v>
      </c>
      <c r="G72" s="19" t="s">
        <v>1147</v>
      </c>
      <c r="H72" s="18"/>
      <c r="I72" s="18"/>
      <c r="J72" s="18"/>
      <c r="K72" s="18"/>
      <c r="L72" s="18"/>
      <c r="M72" s="18"/>
      <c r="N72" s="18">
        <v>0</v>
      </c>
      <c r="O72" s="18"/>
      <c r="P72" s="38" t="s">
        <v>1148</v>
      </c>
      <c r="Q72" s="17" t="s">
        <v>1149</v>
      </c>
      <c r="R72" s="17" t="s">
        <v>1150</v>
      </c>
      <c r="S72" s="17" t="s">
        <v>1151</v>
      </c>
      <c r="T72" s="17" t="s">
        <v>1152</v>
      </c>
      <c r="U72" s="5" t="s">
        <v>1153</v>
      </c>
      <c r="V72" s="19" t="s">
        <v>86</v>
      </c>
      <c r="W72" s="17" t="s">
        <v>38</v>
      </c>
      <c r="X72" s="4" t="s">
        <v>1154</v>
      </c>
      <c r="Y72" s="4" t="s">
        <v>111</v>
      </c>
      <c r="Z72" s="2"/>
    </row>
    <row r="73" spans="1:26" ht="19.5" customHeight="1">
      <c r="A73" s="5" t="s">
        <v>1155</v>
      </c>
      <c r="B73" s="5" t="s">
        <v>1156</v>
      </c>
      <c r="C73" s="5" t="s">
        <v>1157</v>
      </c>
      <c r="D73" s="14" t="s">
        <v>28</v>
      </c>
      <c r="E73" s="14" t="s">
        <v>28</v>
      </c>
      <c r="F73" s="5">
        <v>2008</v>
      </c>
      <c r="G73" s="5" t="s">
        <v>843</v>
      </c>
      <c r="H73" s="5">
        <v>74</v>
      </c>
      <c r="I73" s="5">
        <v>1</v>
      </c>
      <c r="J73" s="5" t="s">
        <v>30</v>
      </c>
      <c r="K73" s="5">
        <v>5</v>
      </c>
      <c r="L73" s="5">
        <v>16</v>
      </c>
      <c r="M73" s="5">
        <v>12</v>
      </c>
      <c r="N73" s="5">
        <v>19</v>
      </c>
      <c r="O73" s="5" t="s">
        <v>1158</v>
      </c>
      <c r="P73" s="15" t="str">
        <f>HYPERLINK("http://dx.doi.org/10.1080/01944360701792231","http://dx.doi.org/10.1080/01944360701792231")</f>
        <v>http://dx.doi.org/10.1080/01944360701792231</v>
      </c>
      <c r="Q73" s="5" t="s">
        <v>1159</v>
      </c>
      <c r="R73" s="25" t="s">
        <v>1160</v>
      </c>
      <c r="S73" s="5" t="s">
        <v>1161</v>
      </c>
      <c r="T73" s="5" t="s">
        <v>1162</v>
      </c>
      <c r="U73" s="5" t="s">
        <v>1163</v>
      </c>
      <c r="V73" s="5" t="s">
        <v>1164</v>
      </c>
      <c r="W73" s="5" t="s">
        <v>38</v>
      </c>
      <c r="X73" s="3" t="s">
        <v>850</v>
      </c>
      <c r="Y73" s="3" t="s">
        <v>40</v>
      </c>
      <c r="Z73" s="2"/>
    </row>
    <row r="74" spans="1:26" ht="19.5" customHeight="1">
      <c r="A74" s="9" t="s">
        <v>1165</v>
      </c>
      <c r="B74" s="17" t="s">
        <v>1166</v>
      </c>
      <c r="C74" s="17" t="s">
        <v>1167</v>
      </c>
      <c r="D74" s="14" t="s">
        <v>28</v>
      </c>
      <c r="E74" s="14" t="s">
        <v>28</v>
      </c>
      <c r="F74" s="18">
        <v>2025</v>
      </c>
      <c r="G74" s="19" t="s">
        <v>958</v>
      </c>
      <c r="H74" s="18">
        <v>15</v>
      </c>
      <c r="I74" s="18">
        <v>3</v>
      </c>
      <c r="J74" s="18">
        <v>454</v>
      </c>
      <c r="K74" s="18"/>
      <c r="L74" s="18"/>
      <c r="M74" s="18"/>
      <c r="N74" s="18">
        <v>0</v>
      </c>
      <c r="O74" s="17" t="s">
        <v>1168</v>
      </c>
      <c r="P74" s="38" t="s">
        <v>1169</v>
      </c>
      <c r="Q74" s="17" t="s">
        <v>1170</v>
      </c>
      <c r="R74" s="17" t="s">
        <v>1171</v>
      </c>
      <c r="S74" s="17" t="s">
        <v>1172</v>
      </c>
      <c r="T74" s="17" t="s">
        <v>1173</v>
      </c>
      <c r="U74" s="5" t="s">
        <v>1174</v>
      </c>
      <c r="V74" s="19" t="s">
        <v>932</v>
      </c>
      <c r="W74" s="17" t="s">
        <v>38</v>
      </c>
      <c r="X74" s="4" t="s">
        <v>1175</v>
      </c>
      <c r="Y74" s="4" t="s">
        <v>40</v>
      </c>
      <c r="Z74" s="2"/>
    </row>
    <row r="75" spans="1:26" ht="19.5" customHeight="1">
      <c r="A75" s="9" t="s">
        <v>1176</v>
      </c>
      <c r="B75" s="17" t="s">
        <v>1177</v>
      </c>
      <c r="C75" s="17" t="s">
        <v>1178</v>
      </c>
      <c r="D75" s="14" t="s">
        <v>28</v>
      </c>
      <c r="E75" s="14" t="s">
        <v>28</v>
      </c>
      <c r="F75" s="18">
        <v>2013</v>
      </c>
      <c r="G75" s="19" t="s">
        <v>80</v>
      </c>
      <c r="H75" s="18"/>
      <c r="I75" s="18">
        <v>204</v>
      </c>
      <c r="J75" s="18"/>
      <c r="K75" s="18"/>
      <c r="L75" s="18"/>
      <c r="M75" s="18"/>
      <c r="N75" s="18">
        <v>1</v>
      </c>
      <c r="O75" s="18"/>
      <c r="P75" s="38" t="s">
        <v>1179</v>
      </c>
      <c r="Q75" s="17" t="s">
        <v>1180</v>
      </c>
      <c r="R75" s="17" t="s">
        <v>1181</v>
      </c>
      <c r="S75" s="17" t="s">
        <v>1182</v>
      </c>
      <c r="T75" s="17" t="s">
        <v>1183</v>
      </c>
      <c r="U75" s="5"/>
      <c r="V75" s="19" t="s">
        <v>86</v>
      </c>
      <c r="W75" s="17" t="s">
        <v>38</v>
      </c>
      <c r="X75" s="4" t="s">
        <v>87</v>
      </c>
      <c r="Y75" s="4" t="s">
        <v>40</v>
      </c>
      <c r="Z75" s="2"/>
    </row>
    <row r="76" spans="1:26" ht="19.5" customHeight="1">
      <c r="A76" s="9" t="s">
        <v>1184</v>
      </c>
      <c r="B76" s="17" t="s">
        <v>1185</v>
      </c>
      <c r="C76" s="17" t="s">
        <v>1186</v>
      </c>
      <c r="D76" s="14" t="s">
        <v>28</v>
      </c>
      <c r="E76" s="14" t="s">
        <v>28</v>
      </c>
      <c r="F76" s="18">
        <v>2018</v>
      </c>
      <c r="G76" s="19" t="s">
        <v>80</v>
      </c>
      <c r="H76" s="18"/>
      <c r="I76" s="18">
        <v>294</v>
      </c>
      <c r="J76" s="18"/>
      <c r="K76" s="18">
        <v>1</v>
      </c>
      <c r="L76" s="18">
        <v>102</v>
      </c>
      <c r="M76" s="18">
        <v>101</v>
      </c>
      <c r="N76" s="18">
        <v>10</v>
      </c>
      <c r="O76" s="17" t="s">
        <v>1187</v>
      </c>
      <c r="P76" s="38" t="s">
        <v>1188</v>
      </c>
      <c r="Q76" s="17" t="s">
        <v>680</v>
      </c>
      <c r="R76" s="17" t="s">
        <v>1189</v>
      </c>
      <c r="S76" s="17" t="s">
        <v>1190</v>
      </c>
      <c r="T76" s="17" t="s">
        <v>1191</v>
      </c>
      <c r="U76" s="5"/>
      <c r="V76" s="19" t="s">
        <v>86</v>
      </c>
      <c r="W76" s="17" t="s">
        <v>38</v>
      </c>
      <c r="X76" s="4" t="s">
        <v>87</v>
      </c>
      <c r="Y76" s="4" t="s">
        <v>170</v>
      </c>
      <c r="Z76" s="2"/>
    </row>
    <row r="77" spans="1:26" ht="19.5" customHeight="1">
      <c r="A77" s="9" t="s">
        <v>1192</v>
      </c>
      <c r="B77" s="17" t="s">
        <v>1193</v>
      </c>
      <c r="C77" s="17" t="s">
        <v>1194</v>
      </c>
      <c r="D77" s="14" t="s">
        <v>28</v>
      </c>
      <c r="E77" s="14" t="s">
        <v>28</v>
      </c>
      <c r="F77" s="18">
        <v>2022</v>
      </c>
      <c r="G77" s="19" t="s">
        <v>787</v>
      </c>
      <c r="H77" s="18">
        <v>32</v>
      </c>
      <c r="I77" s="17" t="s">
        <v>1195</v>
      </c>
      <c r="J77" s="18"/>
      <c r="K77" s="18">
        <v>713</v>
      </c>
      <c r="L77" s="18">
        <v>729</v>
      </c>
      <c r="M77" s="18">
        <v>16</v>
      </c>
      <c r="N77" s="18">
        <v>2</v>
      </c>
      <c r="O77" s="17" t="s">
        <v>1196</v>
      </c>
      <c r="P77" s="38" t="s">
        <v>1197</v>
      </c>
      <c r="Q77" s="17" t="s">
        <v>1198</v>
      </c>
      <c r="R77" s="17" t="s">
        <v>1199</v>
      </c>
      <c r="S77" s="17" t="s">
        <v>1200</v>
      </c>
      <c r="T77" s="17" t="s">
        <v>1201</v>
      </c>
      <c r="U77" s="5"/>
      <c r="V77" s="19" t="s">
        <v>135</v>
      </c>
      <c r="W77" s="17" t="s">
        <v>38</v>
      </c>
      <c r="X77" s="4" t="s">
        <v>794</v>
      </c>
      <c r="Y77" s="4" t="s">
        <v>40</v>
      </c>
      <c r="Z77" s="2"/>
    </row>
    <row r="78" spans="1:26" ht="19.5" customHeight="1">
      <c r="A78" s="9" t="s">
        <v>1202</v>
      </c>
      <c r="B78" s="17" t="s">
        <v>1203</v>
      </c>
      <c r="C78" s="17" t="s">
        <v>1204</v>
      </c>
      <c r="D78" s="14" t="s">
        <v>28</v>
      </c>
      <c r="E78" s="14" t="s">
        <v>28</v>
      </c>
      <c r="F78" s="18">
        <v>2021</v>
      </c>
      <c r="G78" s="19" t="s">
        <v>80</v>
      </c>
      <c r="H78" s="18"/>
      <c r="I78" s="18">
        <v>353</v>
      </c>
      <c r="J78" s="18"/>
      <c r="K78" s="18"/>
      <c r="L78" s="18"/>
      <c r="M78" s="18"/>
      <c r="N78" s="18">
        <v>0</v>
      </c>
      <c r="O78" s="17" t="s">
        <v>1205</v>
      </c>
      <c r="P78" s="38" t="s">
        <v>1206</v>
      </c>
      <c r="Q78" s="17" t="s">
        <v>1207</v>
      </c>
      <c r="R78" s="17" t="s">
        <v>1208</v>
      </c>
      <c r="S78" s="17" t="s">
        <v>1209</v>
      </c>
      <c r="T78" s="17" t="s">
        <v>1210</v>
      </c>
      <c r="U78" s="5"/>
      <c r="V78" s="19" t="s">
        <v>86</v>
      </c>
      <c r="W78" s="17" t="s">
        <v>38</v>
      </c>
      <c r="X78" s="4" t="s">
        <v>87</v>
      </c>
      <c r="Y78" s="4" t="s">
        <v>40</v>
      </c>
      <c r="Z78" s="2"/>
    </row>
    <row r="79" spans="1:26" ht="19.5" customHeight="1">
      <c r="A79" s="9" t="s">
        <v>1211</v>
      </c>
      <c r="B79" s="17" t="s">
        <v>1212</v>
      </c>
      <c r="C79" s="17" t="s">
        <v>1213</v>
      </c>
      <c r="D79" s="14" t="s">
        <v>28</v>
      </c>
      <c r="E79" s="14" t="s">
        <v>28</v>
      </c>
      <c r="F79" s="18">
        <v>2022</v>
      </c>
      <c r="G79" s="19" t="s">
        <v>140</v>
      </c>
      <c r="H79" s="18">
        <v>37</v>
      </c>
      <c r="I79" s="18">
        <v>1</v>
      </c>
      <c r="J79" s="18"/>
      <c r="K79" s="18">
        <v>529</v>
      </c>
      <c r="L79" s="18">
        <v>551</v>
      </c>
      <c r="M79" s="18">
        <v>22</v>
      </c>
      <c r="N79" s="18">
        <v>5</v>
      </c>
      <c r="O79" s="17" t="s">
        <v>1214</v>
      </c>
      <c r="P79" s="38" t="s">
        <v>1215</v>
      </c>
      <c r="Q79" s="17" t="s">
        <v>1216</v>
      </c>
      <c r="R79" s="17" t="s">
        <v>1217</v>
      </c>
      <c r="S79" s="17" t="s">
        <v>1218</v>
      </c>
      <c r="T79" s="17" t="s">
        <v>1219</v>
      </c>
      <c r="U79" s="5" t="s">
        <v>1220</v>
      </c>
      <c r="V79" s="19" t="s">
        <v>428</v>
      </c>
      <c r="W79" s="17" t="s">
        <v>38</v>
      </c>
      <c r="X79" s="4" t="s">
        <v>148</v>
      </c>
      <c r="Y79" s="4" t="s">
        <v>40</v>
      </c>
      <c r="Z79" s="2"/>
    </row>
    <row r="80" spans="1:26" ht="19.5" customHeight="1">
      <c r="A80" s="9" t="s">
        <v>1221</v>
      </c>
      <c r="B80" s="17" t="s">
        <v>1222</v>
      </c>
      <c r="C80" s="17" t="s">
        <v>1223</v>
      </c>
      <c r="D80" s="14" t="s">
        <v>28</v>
      </c>
      <c r="E80" s="14" t="s">
        <v>28</v>
      </c>
      <c r="F80" s="18">
        <v>2020</v>
      </c>
      <c r="G80" s="19" t="s">
        <v>80</v>
      </c>
      <c r="H80" s="18"/>
      <c r="I80" s="18">
        <v>349</v>
      </c>
      <c r="J80" s="18"/>
      <c r="K80" s="18">
        <v>1</v>
      </c>
      <c r="L80" s="18">
        <v>96</v>
      </c>
      <c r="M80" s="18">
        <v>95</v>
      </c>
      <c r="N80" s="18">
        <v>7</v>
      </c>
      <c r="O80" s="17" t="s">
        <v>1224</v>
      </c>
      <c r="P80" s="38" t="s">
        <v>1225</v>
      </c>
      <c r="Q80" s="17" t="s">
        <v>1226</v>
      </c>
      <c r="R80" s="17" t="s">
        <v>1227</v>
      </c>
      <c r="S80" s="17" t="s">
        <v>1228</v>
      </c>
      <c r="T80" s="17" t="s">
        <v>1229</v>
      </c>
      <c r="U80" s="5"/>
      <c r="V80" s="19" t="s">
        <v>86</v>
      </c>
      <c r="W80" s="17" t="s">
        <v>38</v>
      </c>
      <c r="X80" s="4" t="s">
        <v>87</v>
      </c>
      <c r="Y80" s="4" t="s">
        <v>170</v>
      </c>
      <c r="Z80" s="2"/>
    </row>
    <row r="81" spans="1:25" s="8" customFormat="1">
      <c r="A81" s="31" t="s">
        <v>1244</v>
      </c>
      <c r="B81" s="31" t="s">
        <v>1245</v>
      </c>
      <c r="C81" s="32" t="s">
        <v>1246</v>
      </c>
      <c r="D81" s="14" t="s">
        <v>28</v>
      </c>
      <c r="E81" s="14" t="s">
        <v>28</v>
      </c>
      <c r="F81" s="31" t="s">
        <v>1247</v>
      </c>
      <c r="G81" s="31" t="s">
        <v>1248</v>
      </c>
      <c r="H81" s="31" t="s">
        <v>1249</v>
      </c>
      <c r="I81" s="31" t="s">
        <v>1250</v>
      </c>
      <c r="J81" s="31"/>
      <c r="K81" s="31" t="s">
        <v>1251</v>
      </c>
      <c r="L81" s="31" t="s">
        <v>1252</v>
      </c>
      <c r="M81" s="31"/>
      <c r="N81" s="31" t="s">
        <v>1253</v>
      </c>
      <c r="O81" s="31" t="s">
        <v>1254</v>
      </c>
      <c r="P81" s="34" t="s">
        <v>1255</v>
      </c>
      <c r="Q81" s="31" t="s">
        <v>1256</v>
      </c>
      <c r="R81" s="31" t="s">
        <v>1257</v>
      </c>
      <c r="S81" s="31" t="s">
        <v>1258</v>
      </c>
      <c r="T81" s="31" t="s">
        <v>1259</v>
      </c>
      <c r="U81" s="31"/>
      <c r="V81" s="31" t="s">
        <v>1260</v>
      </c>
      <c r="W81" s="31" t="s">
        <v>38</v>
      </c>
      <c r="X81" s="31" t="s">
        <v>1261</v>
      </c>
      <c r="Y81" s="31" t="s">
        <v>40</v>
      </c>
    </row>
    <row r="82" spans="1:25" s="8" customFormat="1">
      <c r="A82" s="31" t="s">
        <v>1273</v>
      </c>
      <c r="B82" s="31" t="s">
        <v>1274</v>
      </c>
      <c r="C82" s="32" t="s">
        <v>1275</v>
      </c>
      <c r="D82" s="14" t="s">
        <v>28</v>
      </c>
      <c r="E82" s="14" t="s">
        <v>28</v>
      </c>
      <c r="F82" s="31" t="s">
        <v>1247</v>
      </c>
      <c r="G82" s="31" t="s">
        <v>1276</v>
      </c>
      <c r="H82" s="31" t="s">
        <v>1277</v>
      </c>
      <c r="I82" s="31" t="s">
        <v>1278</v>
      </c>
      <c r="J82" s="31"/>
      <c r="K82" s="31" t="s">
        <v>1279</v>
      </c>
      <c r="L82" s="31" t="s">
        <v>1280</v>
      </c>
      <c r="M82" s="31"/>
      <c r="N82" s="31" t="s">
        <v>1281</v>
      </c>
      <c r="O82" s="31" t="s">
        <v>1282</v>
      </c>
      <c r="P82" s="34" t="s">
        <v>1283</v>
      </c>
      <c r="Q82" s="36" t="s">
        <v>1284</v>
      </c>
      <c r="R82" s="31" t="s">
        <v>1285</v>
      </c>
      <c r="S82" s="31" t="s">
        <v>1286</v>
      </c>
      <c r="T82" s="31" t="s">
        <v>1287</v>
      </c>
      <c r="U82" s="31"/>
      <c r="V82" s="31" t="s">
        <v>1288</v>
      </c>
      <c r="W82" s="31" t="s">
        <v>38</v>
      </c>
      <c r="X82" s="31" t="s">
        <v>182</v>
      </c>
      <c r="Y82" s="31" t="s">
        <v>40</v>
      </c>
    </row>
    <row r="83" spans="1:25" s="8" customFormat="1">
      <c r="A83" s="31" t="s">
        <v>1289</v>
      </c>
      <c r="B83" s="31" t="s">
        <v>1290</v>
      </c>
      <c r="C83" s="32" t="s">
        <v>1291</v>
      </c>
      <c r="D83" s="14" t="s">
        <v>28</v>
      </c>
      <c r="E83" s="14" t="s">
        <v>28</v>
      </c>
      <c r="F83" s="31" t="s">
        <v>1247</v>
      </c>
      <c r="G83" s="31" t="s">
        <v>1292</v>
      </c>
      <c r="H83" s="31"/>
      <c r="I83" s="31"/>
      <c r="J83" s="31"/>
      <c r="K83" s="31"/>
      <c r="L83" s="31"/>
      <c r="M83" s="31"/>
      <c r="N83" s="31" t="s">
        <v>1253</v>
      </c>
      <c r="O83" s="31" t="s">
        <v>1293</v>
      </c>
      <c r="P83" s="34" t="s">
        <v>1294</v>
      </c>
      <c r="Q83" s="37" t="s">
        <v>1295</v>
      </c>
      <c r="R83" s="36" t="s">
        <v>1296</v>
      </c>
      <c r="S83" s="31" t="s">
        <v>1297</v>
      </c>
      <c r="T83" s="31" t="s">
        <v>1298</v>
      </c>
      <c r="U83" s="31"/>
      <c r="V83" s="31" t="s">
        <v>1299</v>
      </c>
      <c r="W83" s="31" t="s">
        <v>38</v>
      </c>
      <c r="X83" s="31" t="s">
        <v>244</v>
      </c>
      <c r="Y83" s="31" t="s">
        <v>40</v>
      </c>
    </row>
    <row r="84" spans="1:25" s="8" customFormat="1">
      <c r="A84" s="31" t="s">
        <v>1311</v>
      </c>
      <c r="B84" s="37" t="s">
        <v>1312</v>
      </c>
      <c r="C84" s="32" t="s">
        <v>1313</v>
      </c>
      <c r="D84" s="14" t="s">
        <v>28</v>
      </c>
      <c r="E84" s="14" t="s">
        <v>28</v>
      </c>
      <c r="F84" s="31" t="s">
        <v>1247</v>
      </c>
      <c r="G84" s="31" t="s">
        <v>1314</v>
      </c>
      <c r="H84" s="31" t="s">
        <v>1315</v>
      </c>
      <c r="I84" s="31" t="s">
        <v>1316</v>
      </c>
      <c r="J84" s="31" t="s">
        <v>1317</v>
      </c>
      <c r="K84" s="31"/>
      <c r="L84" s="31"/>
      <c r="M84" s="31"/>
      <c r="N84" s="31" t="s">
        <v>1281</v>
      </c>
      <c r="O84" s="31" t="s">
        <v>1318</v>
      </c>
      <c r="P84" s="34" t="s">
        <v>1319</v>
      </c>
      <c r="Q84" s="37" t="s">
        <v>1320</v>
      </c>
      <c r="R84" s="37" t="s">
        <v>1321</v>
      </c>
      <c r="S84" s="31" t="s">
        <v>1322</v>
      </c>
      <c r="T84" s="31" t="s">
        <v>1323</v>
      </c>
      <c r="U84" s="31"/>
      <c r="V84" s="31" t="s">
        <v>1272</v>
      </c>
      <c r="W84" s="31" t="s">
        <v>38</v>
      </c>
      <c r="X84" s="31" t="s">
        <v>1324</v>
      </c>
      <c r="Y84" s="31" t="s">
        <v>40</v>
      </c>
    </row>
    <row r="85" spans="1:25" s="8" customFormat="1">
      <c r="A85" s="31" t="s">
        <v>1375</v>
      </c>
      <c r="B85" s="37" t="s">
        <v>1376</v>
      </c>
      <c r="C85" s="32" t="s">
        <v>1377</v>
      </c>
      <c r="D85" s="14" t="s">
        <v>28</v>
      </c>
      <c r="E85" s="14" t="s">
        <v>28</v>
      </c>
      <c r="F85" s="31" t="s">
        <v>1247</v>
      </c>
      <c r="G85" s="31" t="s">
        <v>1378</v>
      </c>
      <c r="H85" s="31"/>
      <c r="I85" s="31"/>
      <c r="J85" s="31"/>
      <c r="K85" s="31"/>
      <c r="L85" s="31"/>
      <c r="M85" s="31"/>
      <c r="N85" s="31" t="s">
        <v>1281</v>
      </c>
      <c r="O85" s="31" t="s">
        <v>1379</v>
      </c>
      <c r="P85" s="34" t="s">
        <v>1380</v>
      </c>
      <c r="Q85" s="37" t="s">
        <v>1381</v>
      </c>
      <c r="R85" s="37" t="s">
        <v>1382</v>
      </c>
      <c r="S85" s="31" t="s">
        <v>1383</v>
      </c>
      <c r="T85" s="31" t="s">
        <v>1384</v>
      </c>
      <c r="U85" s="31"/>
      <c r="V85" s="31" t="s">
        <v>1385</v>
      </c>
      <c r="W85" s="31" t="s">
        <v>38</v>
      </c>
      <c r="X85" s="31" t="s">
        <v>902</v>
      </c>
      <c r="Y85" s="31" t="s">
        <v>40</v>
      </c>
    </row>
    <row r="86" spans="1:25" s="8" customFormat="1">
      <c r="A86" s="31" t="s">
        <v>1442</v>
      </c>
      <c r="B86" s="37" t="s">
        <v>1443</v>
      </c>
      <c r="C86" s="32" t="s">
        <v>1444</v>
      </c>
      <c r="D86" s="14" t="s">
        <v>28</v>
      </c>
      <c r="E86" s="14" t="s">
        <v>28</v>
      </c>
      <c r="F86" s="31" t="s">
        <v>1247</v>
      </c>
      <c r="G86" s="31" t="s">
        <v>1362</v>
      </c>
      <c r="H86" s="31" t="s">
        <v>1445</v>
      </c>
      <c r="I86" s="31"/>
      <c r="J86" s="31" t="s">
        <v>1446</v>
      </c>
      <c r="K86" s="31"/>
      <c r="L86" s="31"/>
      <c r="M86" s="31"/>
      <c r="N86" s="31" t="s">
        <v>1281</v>
      </c>
      <c r="O86" s="31" t="s">
        <v>1447</v>
      </c>
      <c r="P86" s="34" t="s">
        <v>1448</v>
      </c>
      <c r="Q86" s="37" t="s">
        <v>1449</v>
      </c>
      <c r="R86" s="37" t="s">
        <v>1450</v>
      </c>
      <c r="S86" s="31" t="s">
        <v>1451</v>
      </c>
      <c r="T86" s="31" t="s">
        <v>1452</v>
      </c>
      <c r="U86" s="31" t="s">
        <v>1453</v>
      </c>
      <c r="V86" s="31" t="s">
        <v>1373</v>
      </c>
      <c r="W86" s="31" t="s">
        <v>38</v>
      </c>
      <c r="X86" s="31" t="s">
        <v>1374</v>
      </c>
      <c r="Y86" s="31" t="s">
        <v>40</v>
      </c>
    </row>
    <row r="87" spans="1:25" s="8" customFormat="1">
      <c r="A87" s="31" t="s">
        <v>1454</v>
      </c>
      <c r="B87" s="37" t="s">
        <v>1455</v>
      </c>
      <c r="C87" s="32" t="s">
        <v>1456</v>
      </c>
      <c r="D87" s="14" t="s">
        <v>28</v>
      </c>
      <c r="E87" s="14" t="s">
        <v>28</v>
      </c>
      <c r="F87" s="31" t="s">
        <v>1247</v>
      </c>
      <c r="G87" s="31" t="s">
        <v>1457</v>
      </c>
      <c r="H87" s="31" t="s">
        <v>1458</v>
      </c>
      <c r="I87" s="31" t="s">
        <v>1459</v>
      </c>
      <c r="J87" s="31" t="s">
        <v>1460</v>
      </c>
      <c r="K87" s="31"/>
      <c r="L87" s="31"/>
      <c r="M87" s="31"/>
      <c r="N87" s="31" t="s">
        <v>1281</v>
      </c>
      <c r="O87" s="31" t="s">
        <v>1461</v>
      </c>
      <c r="P87" s="34" t="s">
        <v>1462</v>
      </c>
      <c r="Q87" s="37" t="s">
        <v>1463</v>
      </c>
      <c r="R87" s="37" t="s">
        <v>1464</v>
      </c>
      <c r="S87" s="31" t="s">
        <v>1465</v>
      </c>
      <c r="T87" s="31" t="s">
        <v>1466</v>
      </c>
      <c r="V87" s="31" t="s">
        <v>1467</v>
      </c>
      <c r="W87" s="31" t="s">
        <v>38</v>
      </c>
      <c r="X87" s="31" t="s">
        <v>1468</v>
      </c>
      <c r="Y87" s="31" t="s">
        <v>40</v>
      </c>
    </row>
    <row r="88" spans="1:25" s="8" customFormat="1">
      <c r="A88" s="31" t="s">
        <v>1469</v>
      </c>
      <c r="B88" s="37" t="s">
        <v>1470</v>
      </c>
      <c r="C88" s="32" t="s">
        <v>1471</v>
      </c>
      <c r="D88" s="14" t="s">
        <v>28</v>
      </c>
      <c r="E88" s="14" t="s">
        <v>28</v>
      </c>
      <c r="F88" s="31" t="s">
        <v>1247</v>
      </c>
      <c r="G88" s="31" t="s">
        <v>1472</v>
      </c>
      <c r="H88" s="31" t="s">
        <v>1473</v>
      </c>
      <c r="I88" s="31" t="s">
        <v>1278</v>
      </c>
      <c r="J88" s="31"/>
      <c r="K88" s="31" t="s">
        <v>1474</v>
      </c>
      <c r="L88" s="31" t="s">
        <v>1475</v>
      </c>
      <c r="M88" s="31"/>
      <c r="N88" s="31" t="s">
        <v>1253</v>
      </c>
      <c r="O88" s="31" t="s">
        <v>1476</v>
      </c>
      <c r="P88" s="34" t="s">
        <v>1477</v>
      </c>
      <c r="Q88" s="37" t="s">
        <v>1478</v>
      </c>
      <c r="R88" s="37" t="s">
        <v>1479</v>
      </c>
      <c r="S88" s="31" t="s">
        <v>1480</v>
      </c>
      <c r="T88" s="31" t="s">
        <v>1481</v>
      </c>
      <c r="U88" s="31" t="s">
        <v>1482</v>
      </c>
      <c r="V88" s="31" t="s">
        <v>1335</v>
      </c>
      <c r="W88" s="31" t="s">
        <v>38</v>
      </c>
      <c r="X88" s="31" t="s">
        <v>566</v>
      </c>
      <c r="Y88" s="31" t="s">
        <v>40</v>
      </c>
    </row>
    <row r="89" spans="1:25" s="8" customFormat="1">
      <c r="A89" s="31" t="s">
        <v>1483</v>
      </c>
      <c r="B89" s="37" t="s">
        <v>1484</v>
      </c>
      <c r="C89" s="44" t="s">
        <v>1485</v>
      </c>
      <c r="D89" s="14" t="s">
        <v>28</v>
      </c>
      <c r="E89" s="14" t="s">
        <v>28</v>
      </c>
      <c r="F89" s="31" t="s">
        <v>1247</v>
      </c>
      <c r="G89" s="31" t="s">
        <v>1486</v>
      </c>
      <c r="H89" s="31" t="s">
        <v>1487</v>
      </c>
      <c r="I89" s="31" t="s">
        <v>1265</v>
      </c>
      <c r="J89" s="31"/>
      <c r="K89" s="31" t="s">
        <v>1474</v>
      </c>
      <c r="L89" s="31" t="s">
        <v>1488</v>
      </c>
      <c r="M89" s="31"/>
      <c r="N89" s="31" t="s">
        <v>1253</v>
      </c>
      <c r="O89" s="31" t="s">
        <v>1489</v>
      </c>
      <c r="P89" s="34" t="s">
        <v>1490</v>
      </c>
      <c r="Q89" s="37" t="s">
        <v>1491</v>
      </c>
      <c r="R89" s="37" t="s">
        <v>1492</v>
      </c>
      <c r="S89" s="31" t="s">
        <v>1493</v>
      </c>
      <c r="T89" s="31" t="s">
        <v>1494</v>
      </c>
      <c r="U89" s="31"/>
      <c r="V89" s="31" t="s">
        <v>1335</v>
      </c>
      <c r="W89" s="31" t="s">
        <v>38</v>
      </c>
      <c r="X89" s="31" t="s">
        <v>794</v>
      </c>
      <c r="Y89" s="31" t="s">
        <v>40</v>
      </c>
    </row>
    <row r="90" spans="1:25" s="8" customFormat="1">
      <c r="A90" s="31" t="s">
        <v>1495</v>
      </c>
      <c r="B90" s="37" t="s">
        <v>1496</v>
      </c>
      <c r="C90" s="32" t="s">
        <v>1497</v>
      </c>
      <c r="D90" s="14" t="s">
        <v>28</v>
      </c>
      <c r="E90" s="14" t="s">
        <v>28</v>
      </c>
      <c r="F90" s="31" t="s">
        <v>1247</v>
      </c>
      <c r="G90" s="31" t="s">
        <v>1498</v>
      </c>
      <c r="H90" s="31" t="s">
        <v>1400</v>
      </c>
      <c r="I90" s="31" t="s">
        <v>1253</v>
      </c>
      <c r="J90" s="31" t="s">
        <v>1499</v>
      </c>
      <c r="K90" s="31"/>
      <c r="L90" s="31"/>
      <c r="M90" s="31"/>
      <c r="N90" s="31" t="s">
        <v>1281</v>
      </c>
      <c r="O90" s="31" t="s">
        <v>1500</v>
      </c>
      <c r="P90" s="34" t="s">
        <v>1501</v>
      </c>
      <c r="Q90" s="37" t="s">
        <v>1502</v>
      </c>
      <c r="R90" s="37" t="s">
        <v>1503</v>
      </c>
      <c r="S90" s="31" t="s">
        <v>1504</v>
      </c>
      <c r="T90" s="31" t="s">
        <v>1505</v>
      </c>
      <c r="U90" s="31"/>
      <c r="V90" s="31" t="s">
        <v>1506</v>
      </c>
      <c r="W90" s="31" t="s">
        <v>38</v>
      </c>
      <c r="X90" s="31" t="s">
        <v>1507</v>
      </c>
      <c r="Y90" s="31" t="s">
        <v>40</v>
      </c>
    </row>
    <row r="91" spans="1:25" s="8" customFormat="1">
      <c r="A91" s="31" t="s">
        <v>1508</v>
      </c>
      <c r="B91" s="37" t="s">
        <v>1509</v>
      </c>
      <c r="C91" s="44" t="s">
        <v>1510</v>
      </c>
      <c r="D91" s="14" t="s">
        <v>28</v>
      </c>
      <c r="E91" s="14" t="s">
        <v>28</v>
      </c>
      <c r="F91" s="31" t="s">
        <v>1247</v>
      </c>
      <c r="G91" s="31" t="s">
        <v>1511</v>
      </c>
      <c r="H91" s="31"/>
      <c r="I91" s="31"/>
      <c r="J91" s="31"/>
      <c r="K91" s="31"/>
      <c r="L91" s="31"/>
      <c r="M91" s="31"/>
      <c r="N91" s="31" t="s">
        <v>1365</v>
      </c>
      <c r="O91" s="31" t="s">
        <v>1512</v>
      </c>
      <c r="P91" s="34" t="s">
        <v>1513</v>
      </c>
      <c r="Q91" s="37" t="s">
        <v>1514</v>
      </c>
      <c r="R91" s="37" t="s">
        <v>1515</v>
      </c>
      <c r="S91" s="31" t="s">
        <v>1516</v>
      </c>
      <c r="T91" s="31" t="s">
        <v>1517</v>
      </c>
      <c r="U91" s="31"/>
      <c r="V91" s="31" t="s">
        <v>1518</v>
      </c>
      <c r="W91" s="31" t="s">
        <v>38</v>
      </c>
      <c r="X91" s="31" t="s">
        <v>1519</v>
      </c>
      <c r="Y91" s="31" t="s">
        <v>40</v>
      </c>
    </row>
    <row r="92" spans="1:25" s="8" customFormat="1">
      <c r="A92" s="31" t="s">
        <v>1542</v>
      </c>
      <c r="B92" s="37" t="s">
        <v>1543</v>
      </c>
      <c r="C92" s="32" t="s">
        <v>1544</v>
      </c>
      <c r="D92" s="14" t="s">
        <v>28</v>
      </c>
      <c r="E92" s="14" t="s">
        <v>28</v>
      </c>
      <c r="F92" s="31" t="s">
        <v>1247</v>
      </c>
      <c r="G92" s="31" t="s">
        <v>1545</v>
      </c>
      <c r="H92" s="31" t="s">
        <v>1400</v>
      </c>
      <c r="I92" s="31"/>
      <c r="J92" s="31" t="s">
        <v>1546</v>
      </c>
      <c r="K92" s="31"/>
      <c r="L92" s="31"/>
      <c r="M92" s="31"/>
      <c r="N92" s="31" t="s">
        <v>1281</v>
      </c>
      <c r="O92" s="31" t="s">
        <v>1547</v>
      </c>
      <c r="P92" s="34" t="s">
        <v>1548</v>
      </c>
      <c r="Q92" s="37" t="s">
        <v>1549</v>
      </c>
      <c r="R92" s="37" t="s">
        <v>1550</v>
      </c>
      <c r="S92" s="31" t="s">
        <v>1551</v>
      </c>
      <c r="T92" s="31" t="s">
        <v>1552</v>
      </c>
      <c r="U92" s="31"/>
      <c r="V92" s="31" t="s">
        <v>1553</v>
      </c>
      <c r="W92" s="31" t="s">
        <v>38</v>
      </c>
      <c r="X92" s="31" t="s">
        <v>1554</v>
      </c>
      <c r="Y92" s="31" t="s">
        <v>40</v>
      </c>
    </row>
    <row r="93" spans="1:25" s="8" customFormat="1">
      <c r="A93" s="31" t="s">
        <v>1581</v>
      </c>
      <c r="B93" s="37" t="s">
        <v>1582</v>
      </c>
      <c r="C93" s="32" t="s">
        <v>1583</v>
      </c>
      <c r="D93" s="14" t="s">
        <v>28</v>
      </c>
      <c r="E93" s="33" t="s">
        <v>28</v>
      </c>
      <c r="F93" s="31" t="s">
        <v>1247</v>
      </c>
      <c r="G93" s="31" t="s">
        <v>1584</v>
      </c>
      <c r="H93" s="31" t="s">
        <v>1433</v>
      </c>
      <c r="I93" s="31"/>
      <c r="J93" s="31" t="s">
        <v>1585</v>
      </c>
      <c r="K93" s="31"/>
      <c r="L93" s="31"/>
      <c r="M93" s="31"/>
      <c r="N93" s="31" t="s">
        <v>1281</v>
      </c>
      <c r="O93" s="31" t="s">
        <v>1586</v>
      </c>
      <c r="P93" s="34" t="s">
        <v>1587</v>
      </c>
      <c r="Q93" s="37" t="s">
        <v>1588</v>
      </c>
      <c r="R93" s="37" t="s">
        <v>1589</v>
      </c>
      <c r="S93" s="31" t="s">
        <v>1590</v>
      </c>
      <c r="T93" s="31" t="s">
        <v>1591</v>
      </c>
      <c r="U93" s="31"/>
      <c r="V93" s="31" t="s">
        <v>1592</v>
      </c>
      <c r="W93" s="31" t="s">
        <v>38</v>
      </c>
      <c r="X93" s="31" t="s">
        <v>1593</v>
      </c>
      <c r="Y93" s="31" t="s">
        <v>40</v>
      </c>
    </row>
    <row r="94" spans="1:25" s="8" customFormat="1">
      <c r="A94" s="31" t="s">
        <v>1594</v>
      </c>
      <c r="B94" s="37" t="s">
        <v>1595</v>
      </c>
      <c r="C94" s="32" t="s">
        <v>1596</v>
      </c>
      <c r="D94" s="14" t="s">
        <v>28</v>
      </c>
      <c r="E94" s="33" t="s">
        <v>28</v>
      </c>
      <c r="F94" s="31" t="s">
        <v>1247</v>
      </c>
      <c r="G94" s="31" t="s">
        <v>1597</v>
      </c>
      <c r="H94" s="31" t="s">
        <v>1316</v>
      </c>
      <c r="I94" s="31" t="s">
        <v>1598</v>
      </c>
      <c r="J94" s="31"/>
      <c r="K94" s="31" t="s">
        <v>1599</v>
      </c>
      <c r="L94" s="31" t="s">
        <v>1600</v>
      </c>
      <c r="M94" s="31"/>
      <c r="N94" s="31" t="s">
        <v>1281</v>
      </c>
      <c r="O94" s="31" t="s">
        <v>1601</v>
      </c>
      <c r="P94" s="34" t="s">
        <v>1602</v>
      </c>
      <c r="Q94" s="37" t="s">
        <v>1603</v>
      </c>
      <c r="R94" s="37" t="s">
        <v>1604</v>
      </c>
      <c r="S94" s="31" t="s">
        <v>1605</v>
      </c>
      <c r="T94" s="31" t="s">
        <v>1606</v>
      </c>
      <c r="U94" s="31"/>
      <c r="V94" s="31" t="s">
        <v>1607</v>
      </c>
      <c r="W94" s="31" t="s">
        <v>38</v>
      </c>
      <c r="X94" s="31" t="s">
        <v>1608</v>
      </c>
      <c r="Y94" s="31" t="s">
        <v>40</v>
      </c>
    </row>
    <row r="95" spans="1:25" s="8" customFormat="1">
      <c r="A95" s="31" t="s">
        <v>1609</v>
      </c>
      <c r="B95" s="37" t="s">
        <v>1610</v>
      </c>
      <c r="C95" s="32" t="s">
        <v>1611</v>
      </c>
      <c r="D95" s="14" t="s">
        <v>28</v>
      </c>
      <c r="E95" s="14" t="s">
        <v>28</v>
      </c>
      <c r="F95" s="31" t="s">
        <v>1247</v>
      </c>
      <c r="G95" s="31" t="s">
        <v>1545</v>
      </c>
      <c r="H95" s="31" t="s">
        <v>1400</v>
      </c>
      <c r="I95" s="31"/>
      <c r="J95" s="31" t="s">
        <v>1612</v>
      </c>
      <c r="K95" s="31"/>
      <c r="L95" s="31"/>
      <c r="M95" s="31"/>
      <c r="N95" s="31" t="s">
        <v>1281</v>
      </c>
      <c r="O95" s="31" t="s">
        <v>1613</v>
      </c>
      <c r="P95" s="34" t="s">
        <v>1614</v>
      </c>
      <c r="Q95" s="37" t="s">
        <v>1615</v>
      </c>
      <c r="R95" s="37" t="s">
        <v>1616</v>
      </c>
      <c r="S95" s="31" t="s">
        <v>1617</v>
      </c>
      <c r="T95" s="31" t="s">
        <v>1618</v>
      </c>
      <c r="U95" s="31"/>
      <c r="V95" s="31" t="s">
        <v>1553</v>
      </c>
      <c r="W95" s="31" t="s">
        <v>38</v>
      </c>
      <c r="X95" s="31" t="s">
        <v>1554</v>
      </c>
      <c r="Y95" s="31" t="s">
        <v>170</v>
      </c>
    </row>
    <row r="96" spans="1:25" s="8" customFormat="1">
      <c r="A96" s="35" t="s">
        <v>1619</v>
      </c>
      <c r="B96" s="37" t="s">
        <v>1620</v>
      </c>
      <c r="C96" s="32" t="s">
        <v>1621</v>
      </c>
      <c r="D96" s="14" t="s">
        <v>28</v>
      </c>
      <c r="E96" s="14" t="s">
        <v>28</v>
      </c>
      <c r="F96" s="31">
        <v>2025</v>
      </c>
      <c r="G96" s="31" t="s">
        <v>1622</v>
      </c>
      <c r="H96" s="31">
        <v>87</v>
      </c>
      <c r="I96" s="31" t="s">
        <v>30</v>
      </c>
      <c r="J96" s="31" t="s">
        <v>30</v>
      </c>
      <c r="K96" s="31">
        <v>116</v>
      </c>
      <c r="L96" s="31">
        <v>130</v>
      </c>
      <c r="M96" s="31" t="s">
        <v>30</v>
      </c>
      <c r="N96" s="31">
        <v>0</v>
      </c>
      <c r="O96" s="31" t="s">
        <v>1623</v>
      </c>
      <c r="P96" s="31" t="str">
        <f>HYPERLINK("http://dx.doi.org/10.38140/trp.v87i.9713","http://dx.doi.org/10.38140/trp.v87i.9713")</f>
        <v>http://dx.doi.org/10.38140/trp.v87i.9713</v>
      </c>
      <c r="Q96" s="37" t="s">
        <v>1624</v>
      </c>
      <c r="R96" s="37" t="s">
        <v>1625</v>
      </c>
      <c r="S96" s="31" t="s">
        <v>1626</v>
      </c>
      <c r="T96" s="31" t="s">
        <v>1627</v>
      </c>
      <c r="U96" s="31" t="s">
        <v>1628</v>
      </c>
      <c r="V96" s="31" t="s">
        <v>1629</v>
      </c>
      <c r="W96" s="31" t="s">
        <v>38</v>
      </c>
      <c r="X96" s="31" t="s">
        <v>1630</v>
      </c>
      <c r="Y96" s="31" t="s">
        <v>40</v>
      </c>
    </row>
    <row r="97" spans="1:26" s="8" customFormat="1">
      <c r="A97" s="35" t="s">
        <v>1631</v>
      </c>
      <c r="B97" s="37" t="s">
        <v>1632</v>
      </c>
      <c r="C97" s="32" t="s">
        <v>1633</v>
      </c>
      <c r="D97" s="14" t="s">
        <v>28</v>
      </c>
      <c r="E97" s="14" t="s">
        <v>28</v>
      </c>
      <c r="F97" s="31">
        <v>2025</v>
      </c>
      <c r="G97" s="31" t="s">
        <v>787</v>
      </c>
      <c r="H97" s="31">
        <v>35</v>
      </c>
      <c r="I97" s="31">
        <v>3</v>
      </c>
      <c r="J97" s="31" t="s">
        <v>30</v>
      </c>
      <c r="K97" s="31">
        <v>583</v>
      </c>
      <c r="L97" s="31">
        <v>599</v>
      </c>
      <c r="M97" s="31" t="s">
        <v>30</v>
      </c>
      <c r="N97" s="31">
        <v>4</v>
      </c>
      <c r="O97" s="31" t="s">
        <v>1634</v>
      </c>
      <c r="P97" s="31" t="str">
        <f>HYPERLINK("http://dx.doi.org/10.1080/10511482.2025.2479449","http://dx.doi.org/10.1080/10511482.2025.2479449")</f>
        <v>http://dx.doi.org/10.1080/10511482.2025.2479449</v>
      </c>
      <c r="Q97" s="37" t="s">
        <v>1635</v>
      </c>
      <c r="R97" s="37" t="s">
        <v>1636</v>
      </c>
      <c r="S97" s="31" t="s">
        <v>1637</v>
      </c>
      <c r="T97" s="31" t="s">
        <v>1638</v>
      </c>
      <c r="U97" s="31" t="s">
        <v>1639</v>
      </c>
      <c r="V97" s="31" t="s">
        <v>122</v>
      </c>
      <c r="W97" s="31" t="s">
        <v>38</v>
      </c>
      <c r="X97" s="31" t="s">
        <v>794</v>
      </c>
      <c r="Y97" s="31" t="s">
        <v>40</v>
      </c>
    </row>
    <row r="98" spans="1:26" ht="19.5" customHeight="1">
      <c r="A98" s="28"/>
      <c r="B98" s="28"/>
      <c r="C98" s="28"/>
      <c r="D98" s="29"/>
      <c r="E98" s="29"/>
      <c r="F98" s="28"/>
      <c r="G98" s="28"/>
      <c r="H98" s="28"/>
      <c r="I98" s="28"/>
      <c r="J98" s="28"/>
      <c r="K98" s="28"/>
      <c r="L98" s="28"/>
      <c r="M98" s="28"/>
      <c r="N98" s="28"/>
      <c r="O98" s="28"/>
      <c r="P98" s="28"/>
      <c r="Q98" s="28"/>
      <c r="R98" s="28"/>
      <c r="S98" s="28"/>
      <c r="T98" s="28"/>
      <c r="U98" s="7"/>
      <c r="V98" s="28"/>
      <c r="W98" s="28"/>
      <c r="X98" s="2"/>
      <c r="Y98" s="2"/>
      <c r="Z98" s="2"/>
    </row>
    <row r="99" spans="1:26" ht="19.5" customHeight="1">
      <c r="A99" s="28"/>
      <c r="B99" s="28"/>
      <c r="C99" s="28"/>
      <c r="D99" s="29"/>
      <c r="E99" s="29"/>
      <c r="F99" s="28"/>
      <c r="G99" s="28"/>
      <c r="H99" s="28"/>
      <c r="I99" s="28"/>
      <c r="J99" s="28"/>
      <c r="K99" s="28"/>
      <c r="L99" s="28"/>
      <c r="M99" s="28"/>
      <c r="N99" s="28"/>
      <c r="O99" s="28"/>
      <c r="P99" s="28"/>
      <c r="Q99" s="28"/>
      <c r="R99" s="28"/>
      <c r="S99" s="28"/>
      <c r="T99" s="28"/>
      <c r="U99" s="7"/>
      <c r="V99" s="28"/>
      <c r="W99" s="28"/>
      <c r="X99" s="2"/>
      <c r="Y99" s="2"/>
      <c r="Z99" s="2"/>
    </row>
    <row r="100" spans="1:26" ht="19.5" customHeight="1">
      <c r="A100" s="28"/>
      <c r="B100" s="28"/>
      <c r="C100" s="28"/>
      <c r="D100" s="29"/>
      <c r="E100" s="29"/>
      <c r="F100" s="28"/>
      <c r="G100" s="28"/>
      <c r="H100" s="28"/>
      <c r="I100" s="28"/>
      <c r="J100" s="28"/>
      <c r="K100" s="28"/>
      <c r="L100" s="28"/>
      <c r="M100" s="28"/>
      <c r="N100" s="28"/>
      <c r="O100" s="28"/>
      <c r="P100" s="28"/>
      <c r="Q100" s="28"/>
      <c r="R100" s="28"/>
      <c r="S100" s="28"/>
      <c r="T100" s="28"/>
      <c r="U100" s="7"/>
      <c r="V100" s="28"/>
      <c r="W100" s="28"/>
      <c r="X100" s="2"/>
      <c r="Y100" s="2"/>
      <c r="Z100" s="2"/>
    </row>
    <row r="101" spans="1:26" ht="19.5" customHeight="1">
      <c r="A101" s="28"/>
      <c r="B101" s="28"/>
      <c r="C101" s="28"/>
      <c r="D101" s="29"/>
      <c r="E101" s="29"/>
      <c r="F101" s="28"/>
      <c r="G101" s="28"/>
      <c r="H101" s="28"/>
      <c r="I101" s="28"/>
      <c r="J101" s="28"/>
      <c r="K101" s="28"/>
      <c r="L101" s="28"/>
      <c r="M101" s="28"/>
      <c r="N101" s="28"/>
      <c r="O101" s="28"/>
      <c r="P101" s="28"/>
      <c r="Q101" s="28"/>
      <c r="R101" s="28"/>
      <c r="S101" s="28"/>
      <c r="T101" s="28"/>
      <c r="U101" s="7"/>
      <c r="V101" s="28"/>
      <c r="W101" s="28"/>
      <c r="X101" s="2"/>
      <c r="Y101" s="2"/>
      <c r="Z101" s="2"/>
    </row>
    <row r="102" spans="1:26" ht="19.5" customHeight="1">
      <c r="A102" s="28"/>
      <c r="B102" s="28"/>
      <c r="C102" s="28"/>
      <c r="D102" s="29"/>
      <c r="E102" s="29"/>
      <c r="F102" s="28"/>
      <c r="G102" s="28"/>
      <c r="H102" s="28"/>
      <c r="I102" s="28"/>
      <c r="J102" s="28"/>
      <c r="K102" s="28"/>
      <c r="L102" s="28"/>
      <c r="M102" s="28"/>
      <c r="N102" s="28"/>
      <c r="O102" s="28"/>
      <c r="P102" s="28"/>
      <c r="Q102" s="28"/>
      <c r="R102" s="28"/>
      <c r="S102" s="28"/>
      <c r="T102" s="28"/>
      <c r="U102" s="7"/>
      <c r="V102" s="28"/>
      <c r="W102" s="28"/>
      <c r="X102" s="2"/>
      <c r="Y102" s="2"/>
      <c r="Z102" s="2"/>
    </row>
    <row r="103" spans="1:26" ht="19.5" customHeight="1">
      <c r="A103" s="28"/>
      <c r="B103" s="28"/>
      <c r="C103" s="28"/>
      <c r="D103" s="29"/>
      <c r="E103" s="29"/>
      <c r="F103" s="28"/>
      <c r="G103" s="28"/>
      <c r="H103" s="28"/>
      <c r="I103" s="28"/>
      <c r="J103" s="28"/>
      <c r="K103" s="28"/>
      <c r="L103" s="28"/>
      <c r="M103" s="28"/>
      <c r="N103" s="28"/>
      <c r="O103" s="28"/>
      <c r="P103" s="28"/>
      <c r="Q103" s="28"/>
      <c r="R103" s="28"/>
      <c r="S103" s="28"/>
      <c r="T103" s="28"/>
      <c r="U103" s="7"/>
      <c r="V103" s="28"/>
      <c r="W103" s="28"/>
      <c r="X103" s="2"/>
      <c r="Y103" s="2"/>
      <c r="Z103" s="2"/>
    </row>
    <row r="104" spans="1:26" ht="19.5" customHeight="1">
      <c r="A104" s="28"/>
      <c r="B104" s="28"/>
      <c r="C104" s="28"/>
      <c r="D104" s="29"/>
      <c r="E104" s="29"/>
      <c r="F104" s="28"/>
      <c r="G104" s="28"/>
      <c r="H104" s="28"/>
      <c r="I104" s="28"/>
      <c r="J104" s="28"/>
      <c r="K104" s="28"/>
      <c r="L104" s="28"/>
      <c r="M104" s="28"/>
      <c r="N104" s="28"/>
      <c r="O104" s="28"/>
      <c r="P104" s="28"/>
      <c r="Q104" s="28"/>
      <c r="R104" s="28"/>
      <c r="S104" s="28"/>
      <c r="T104" s="28"/>
      <c r="U104" s="7"/>
      <c r="V104" s="28"/>
      <c r="W104" s="28"/>
      <c r="X104" s="2"/>
      <c r="Y104" s="2"/>
      <c r="Z104" s="2"/>
    </row>
    <row r="105" spans="1:26" ht="19.5" customHeight="1">
      <c r="A105" s="28"/>
      <c r="B105" s="28"/>
      <c r="C105" s="28"/>
      <c r="D105" s="29"/>
      <c r="E105" s="29"/>
      <c r="F105" s="28"/>
      <c r="G105" s="28"/>
      <c r="H105" s="28"/>
      <c r="I105" s="28"/>
      <c r="J105" s="28"/>
      <c r="K105" s="28"/>
      <c r="L105" s="28"/>
      <c r="M105" s="28"/>
      <c r="N105" s="28"/>
      <c r="O105" s="28"/>
      <c r="P105" s="28"/>
      <c r="Q105" s="28"/>
      <c r="R105" s="28"/>
      <c r="S105" s="28"/>
      <c r="T105" s="28"/>
      <c r="U105" s="7"/>
      <c r="V105" s="28"/>
      <c r="W105" s="28"/>
      <c r="X105" s="2"/>
      <c r="Y105" s="2"/>
      <c r="Z105" s="2"/>
    </row>
    <row r="106" spans="1:26" ht="19.5" customHeight="1">
      <c r="A106" s="28"/>
      <c r="B106" s="28"/>
      <c r="C106" s="28"/>
      <c r="D106" s="29"/>
      <c r="E106" s="29"/>
      <c r="F106" s="28"/>
      <c r="G106" s="28"/>
      <c r="H106" s="28"/>
      <c r="I106" s="28"/>
      <c r="J106" s="28"/>
      <c r="K106" s="28"/>
      <c r="L106" s="28"/>
      <c r="M106" s="28"/>
      <c r="N106" s="28"/>
      <c r="O106" s="28"/>
      <c r="P106" s="28"/>
      <c r="Q106" s="28"/>
      <c r="R106" s="28"/>
      <c r="S106" s="28"/>
      <c r="T106" s="28"/>
      <c r="U106" s="7"/>
      <c r="V106" s="28"/>
      <c r="W106" s="28"/>
      <c r="X106" s="2"/>
      <c r="Y106" s="2"/>
      <c r="Z106" s="2"/>
    </row>
    <row r="107" spans="1:26" ht="19.5" customHeight="1">
      <c r="A107" s="28"/>
      <c r="B107" s="28"/>
      <c r="C107" s="28"/>
      <c r="D107" s="29"/>
      <c r="E107" s="29"/>
      <c r="F107" s="28"/>
      <c r="G107" s="28"/>
      <c r="H107" s="28"/>
      <c r="I107" s="28"/>
      <c r="J107" s="28"/>
      <c r="K107" s="28"/>
      <c r="L107" s="28"/>
      <c r="M107" s="28"/>
      <c r="N107" s="28"/>
      <c r="O107" s="28"/>
      <c r="P107" s="28"/>
      <c r="Q107" s="28"/>
      <c r="R107" s="28"/>
      <c r="S107" s="28"/>
      <c r="T107" s="28"/>
      <c r="U107" s="7"/>
      <c r="V107" s="28"/>
      <c r="W107" s="28"/>
      <c r="X107" s="2"/>
      <c r="Y107" s="2"/>
      <c r="Z107" s="2"/>
    </row>
    <row r="108" spans="1:26" ht="19.5" customHeight="1">
      <c r="A108" s="28"/>
      <c r="B108" s="28"/>
      <c r="C108" s="28"/>
      <c r="D108" s="29"/>
      <c r="E108" s="29"/>
      <c r="F108" s="28"/>
      <c r="G108" s="28"/>
      <c r="H108" s="28"/>
      <c r="I108" s="28"/>
      <c r="J108" s="28"/>
      <c r="K108" s="28"/>
      <c r="L108" s="28"/>
      <c r="M108" s="28"/>
      <c r="N108" s="28"/>
      <c r="O108" s="28"/>
      <c r="P108" s="28"/>
      <c r="Q108" s="28"/>
      <c r="R108" s="28"/>
      <c r="S108" s="28"/>
      <c r="T108" s="28"/>
      <c r="U108" s="7"/>
      <c r="V108" s="28"/>
      <c r="W108" s="28"/>
      <c r="X108" s="2"/>
      <c r="Y108" s="2"/>
      <c r="Z108" s="2"/>
    </row>
    <row r="109" spans="1:26" ht="19.5" customHeight="1">
      <c r="A109" s="28"/>
      <c r="B109" s="28"/>
      <c r="C109" s="28"/>
      <c r="D109" s="29"/>
      <c r="E109" s="29"/>
      <c r="F109" s="28"/>
      <c r="G109" s="28"/>
      <c r="H109" s="28"/>
      <c r="I109" s="28"/>
      <c r="J109" s="28"/>
      <c r="K109" s="28"/>
      <c r="L109" s="28"/>
      <c r="M109" s="28"/>
      <c r="N109" s="28"/>
      <c r="O109" s="28"/>
      <c r="P109" s="28"/>
      <c r="Q109" s="28"/>
      <c r="R109" s="28"/>
      <c r="S109" s="28"/>
      <c r="T109" s="28"/>
      <c r="U109" s="7"/>
      <c r="V109" s="28"/>
      <c r="W109" s="28"/>
      <c r="X109" s="2"/>
      <c r="Y109" s="2"/>
      <c r="Z109" s="2"/>
    </row>
    <row r="110" spans="1:26" ht="19.5" customHeight="1">
      <c r="A110" s="28"/>
      <c r="B110" s="28"/>
      <c r="C110" s="28"/>
      <c r="D110" s="29"/>
      <c r="E110" s="29"/>
      <c r="F110" s="28"/>
      <c r="G110" s="28"/>
      <c r="H110" s="28"/>
      <c r="I110" s="28"/>
      <c r="J110" s="28"/>
      <c r="K110" s="28"/>
      <c r="L110" s="28"/>
      <c r="M110" s="28"/>
      <c r="N110" s="28"/>
      <c r="O110" s="28"/>
      <c r="P110" s="28"/>
      <c r="Q110" s="28"/>
      <c r="R110" s="28"/>
      <c r="S110" s="28"/>
      <c r="T110" s="28"/>
      <c r="U110" s="7"/>
      <c r="V110" s="28"/>
      <c r="W110" s="28"/>
      <c r="X110" s="2"/>
      <c r="Y110" s="2"/>
      <c r="Z110" s="2"/>
    </row>
    <row r="111" spans="1:26" ht="19.5" customHeight="1">
      <c r="A111" s="28"/>
      <c r="B111" s="28"/>
      <c r="C111" s="28"/>
      <c r="D111" s="29"/>
      <c r="E111" s="29"/>
      <c r="F111" s="28"/>
      <c r="G111" s="28"/>
      <c r="H111" s="28"/>
      <c r="I111" s="28"/>
      <c r="J111" s="28"/>
      <c r="K111" s="28"/>
      <c r="L111" s="28"/>
      <c r="M111" s="28"/>
      <c r="N111" s="28"/>
      <c r="O111" s="28"/>
      <c r="P111" s="28"/>
      <c r="Q111" s="28"/>
      <c r="R111" s="28"/>
      <c r="S111" s="28"/>
      <c r="T111" s="28"/>
      <c r="U111" s="7"/>
      <c r="V111" s="28"/>
      <c r="W111" s="28"/>
      <c r="X111" s="2"/>
      <c r="Y111" s="2"/>
      <c r="Z111" s="2"/>
    </row>
    <row r="112" spans="1:26" ht="19.5" customHeight="1">
      <c r="A112" s="28"/>
      <c r="B112" s="28"/>
      <c r="C112" s="28"/>
      <c r="D112" s="29"/>
      <c r="E112" s="29"/>
      <c r="F112" s="28"/>
      <c r="G112" s="28"/>
      <c r="H112" s="28"/>
      <c r="I112" s="28"/>
      <c r="J112" s="28"/>
      <c r="K112" s="28"/>
      <c r="L112" s="28"/>
      <c r="M112" s="28"/>
      <c r="N112" s="28"/>
      <c r="O112" s="28"/>
      <c r="P112" s="28"/>
      <c r="Q112" s="28"/>
      <c r="R112" s="28"/>
      <c r="S112" s="28"/>
      <c r="T112" s="28"/>
      <c r="U112" s="7"/>
      <c r="V112" s="28"/>
      <c r="W112" s="28"/>
      <c r="X112" s="2"/>
      <c r="Y112" s="2"/>
      <c r="Z112" s="2"/>
    </row>
    <row r="113" spans="1:26" ht="19.5" customHeight="1">
      <c r="A113" s="28"/>
      <c r="B113" s="28"/>
      <c r="C113" s="28"/>
      <c r="D113" s="29"/>
      <c r="E113" s="29"/>
      <c r="F113" s="28"/>
      <c r="G113" s="28"/>
      <c r="H113" s="28"/>
      <c r="I113" s="28"/>
      <c r="J113" s="28"/>
      <c r="K113" s="28"/>
      <c r="L113" s="28"/>
      <c r="M113" s="28"/>
      <c r="N113" s="28"/>
      <c r="O113" s="28"/>
      <c r="P113" s="28"/>
      <c r="Q113" s="28"/>
      <c r="R113" s="28"/>
      <c r="S113" s="28"/>
      <c r="T113" s="28"/>
      <c r="U113" s="7"/>
      <c r="V113" s="28"/>
      <c r="W113" s="28"/>
      <c r="X113" s="2"/>
      <c r="Y113" s="2"/>
      <c r="Z113" s="2"/>
    </row>
    <row r="114" spans="1:26" ht="19.5" customHeight="1">
      <c r="A114" s="28"/>
      <c r="B114" s="28"/>
      <c r="C114" s="28"/>
      <c r="D114" s="29"/>
      <c r="E114" s="29"/>
      <c r="F114" s="28"/>
      <c r="G114" s="28"/>
      <c r="H114" s="28"/>
      <c r="I114" s="28"/>
      <c r="J114" s="28"/>
      <c r="K114" s="28"/>
      <c r="L114" s="28"/>
      <c r="M114" s="28"/>
      <c r="N114" s="28"/>
      <c r="O114" s="28"/>
      <c r="P114" s="28"/>
      <c r="Q114" s="28"/>
      <c r="R114" s="28"/>
      <c r="S114" s="28"/>
      <c r="T114" s="28"/>
      <c r="U114" s="7"/>
      <c r="V114" s="28"/>
      <c r="W114" s="28"/>
      <c r="X114" s="2"/>
      <c r="Y114" s="2"/>
      <c r="Z114" s="2"/>
    </row>
    <row r="115" spans="1:26" ht="19.5" customHeight="1">
      <c r="A115" s="28"/>
      <c r="B115" s="28"/>
      <c r="C115" s="28"/>
      <c r="D115" s="29"/>
      <c r="E115" s="29"/>
      <c r="F115" s="28"/>
      <c r="G115" s="28"/>
      <c r="H115" s="28"/>
      <c r="I115" s="28"/>
      <c r="J115" s="28"/>
      <c r="K115" s="28"/>
      <c r="L115" s="28"/>
      <c r="M115" s="28"/>
      <c r="N115" s="28"/>
      <c r="O115" s="28"/>
      <c r="P115" s="28"/>
      <c r="Q115" s="28"/>
      <c r="R115" s="28"/>
      <c r="S115" s="28"/>
      <c r="T115" s="28"/>
      <c r="U115" s="7"/>
      <c r="V115" s="28"/>
      <c r="W115" s="28"/>
      <c r="X115" s="2"/>
      <c r="Y115" s="2"/>
      <c r="Z115" s="2"/>
    </row>
    <row r="116" spans="1:26" ht="19.5" customHeight="1">
      <c r="A116" s="28"/>
      <c r="B116" s="28"/>
      <c r="C116" s="28"/>
      <c r="D116" s="29"/>
      <c r="E116" s="29"/>
      <c r="F116" s="28"/>
      <c r="G116" s="28"/>
      <c r="H116" s="28"/>
      <c r="I116" s="28"/>
      <c r="J116" s="28"/>
      <c r="K116" s="28"/>
      <c r="L116" s="28"/>
      <c r="M116" s="28"/>
      <c r="N116" s="28"/>
      <c r="O116" s="28"/>
      <c r="P116" s="28"/>
      <c r="Q116" s="28"/>
      <c r="R116" s="28"/>
      <c r="S116" s="28"/>
      <c r="T116" s="28"/>
      <c r="U116" s="7"/>
      <c r="V116" s="28"/>
      <c r="W116" s="28"/>
      <c r="X116" s="2"/>
      <c r="Y116" s="2"/>
      <c r="Z116" s="2"/>
    </row>
    <row r="117" spans="1:26" ht="19.5" customHeight="1">
      <c r="A117" s="28"/>
      <c r="B117" s="28"/>
      <c r="C117" s="28"/>
      <c r="D117" s="29"/>
      <c r="E117" s="29"/>
      <c r="F117" s="28"/>
      <c r="G117" s="28"/>
      <c r="H117" s="28"/>
      <c r="I117" s="28"/>
      <c r="J117" s="28"/>
      <c r="K117" s="28"/>
      <c r="L117" s="28"/>
      <c r="M117" s="28"/>
      <c r="N117" s="28"/>
      <c r="O117" s="28"/>
      <c r="P117" s="28"/>
      <c r="Q117" s="28"/>
      <c r="R117" s="28"/>
      <c r="S117" s="28"/>
      <c r="T117" s="28"/>
      <c r="U117" s="7"/>
      <c r="V117" s="28"/>
      <c r="W117" s="28"/>
      <c r="X117" s="2"/>
      <c r="Y117" s="2"/>
      <c r="Z117" s="2"/>
    </row>
    <row r="118" spans="1:26" ht="19.5" customHeight="1">
      <c r="A118" s="28"/>
      <c r="B118" s="28"/>
      <c r="C118" s="28"/>
      <c r="D118" s="29"/>
      <c r="E118" s="29"/>
      <c r="F118" s="28"/>
      <c r="G118" s="28"/>
      <c r="H118" s="28"/>
      <c r="I118" s="28"/>
      <c r="J118" s="28"/>
      <c r="K118" s="28"/>
      <c r="L118" s="28"/>
      <c r="M118" s="28"/>
      <c r="N118" s="28"/>
      <c r="O118" s="28"/>
      <c r="P118" s="28"/>
      <c r="Q118" s="28"/>
      <c r="R118" s="28"/>
      <c r="S118" s="28"/>
      <c r="T118" s="28"/>
      <c r="U118" s="7"/>
      <c r="V118" s="28"/>
      <c r="W118" s="28"/>
      <c r="X118" s="2"/>
      <c r="Y118" s="2"/>
      <c r="Z118" s="2"/>
    </row>
    <row r="119" spans="1:26" ht="19.5" customHeight="1">
      <c r="A119" s="28"/>
      <c r="B119" s="28"/>
      <c r="C119" s="28"/>
      <c r="D119" s="29"/>
      <c r="E119" s="29"/>
      <c r="F119" s="28"/>
      <c r="G119" s="28"/>
      <c r="H119" s="28"/>
      <c r="I119" s="28"/>
      <c r="J119" s="28"/>
      <c r="K119" s="28"/>
      <c r="L119" s="28"/>
      <c r="M119" s="28"/>
      <c r="N119" s="28"/>
      <c r="O119" s="28"/>
      <c r="P119" s="28"/>
      <c r="Q119" s="28"/>
      <c r="R119" s="28"/>
      <c r="S119" s="28"/>
      <c r="T119" s="28"/>
      <c r="U119" s="7"/>
      <c r="V119" s="28"/>
      <c r="W119" s="28"/>
      <c r="X119" s="2"/>
      <c r="Y119" s="2"/>
      <c r="Z119" s="2"/>
    </row>
    <row r="120" spans="1:26" ht="19.5" customHeight="1">
      <c r="A120" s="28"/>
      <c r="B120" s="28"/>
      <c r="C120" s="28"/>
      <c r="D120" s="29"/>
      <c r="E120" s="29"/>
      <c r="F120" s="28"/>
      <c r="G120" s="28"/>
      <c r="H120" s="28"/>
      <c r="I120" s="28"/>
      <c r="J120" s="28"/>
      <c r="K120" s="28"/>
      <c r="L120" s="28"/>
      <c r="M120" s="28"/>
      <c r="N120" s="28"/>
      <c r="O120" s="28"/>
      <c r="P120" s="28"/>
      <c r="Q120" s="28"/>
      <c r="R120" s="28"/>
      <c r="S120" s="28"/>
      <c r="T120" s="28"/>
      <c r="U120" s="7"/>
      <c r="V120" s="28"/>
      <c r="W120" s="28"/>
      <c r="X120" s="2"/>
      <c r="Y120" s="2"/>
      <c r="Z120" s="2"/>
    </row>
    <row r="121" spans="1:26" ht="19.5" customHeight="1">
      <c r="A121" s="28"/>
      <c r="B121" s="28"/>
      <c r="C121" s="28"/>
      <c r="D121" s="29"/>
      <c r="E121" s="29"/>
      <c r="F121" s="28"/>
      <c r="G121" s="28"/>
      <c r="H121" s="28"/>
      <c r="I121" s="28"/>
      <c r="J121" s="28"/>
      <c r="K121" s="28"/>
      <c r="L121" s="28"/>
      <c r="M121" s="28"/>
      <c r="N121" s="28"/>
      <c r="O121" s="28"/>
      <c r="P121" s="28"/>
      <c r="Q121" s="28"/>
      <c r="R121" s="28"/>
      <c r="S121" s="28"/>
      <c r="T121" s="28"/>
      <c r="U121" s="7"/>
      <c r="V121" s="28"/>
      <c r="W121" s="28"/>
      <c r="X121" s="2"/>
      <c r="Y121" s="2"/>
      <c r="Z121" s="2"/>
    </row>
    <row r="122" spans="1:26" ht="19.5" customHeight="1">
      <c r="A122" s="28"/>
      <c r="B122" s="28"/>
      <c r="C122" s="28"/>
      <c r="D122" s="29"/>
      <c r="E122" s="29"/>
      <c r="F122" s="28"/>
      <c r="G122" s="28"/>
      <c r="H122" s="28"/>
      <c r="I122" s="28"/>
      <c r="J122" s="28"/>
      <c r="K122" s="28"/>
      <c r="L122" s="28"/>
      <c r="M122" s="28"/>
      <c r="N122" s="28"/>
      <c r="O122" s="28"/>
      <c r="P122" s="28"/>
      <c r="Q122" s="28"/>
      <c r="R122" s="28"/>
      <c r="S122" s="28"/>
      <c r="T122" s="28"/>
      <c r="U122" s="7"/>
      <c r="V122" s="28"/>
      <c r="W122" s="28"/>
      <c r="X122" s="2"/>
      <c r="Y122" s="2"/>
      <c r="Z122" s="2"/>
    </row>
    <row r="123" spans="1:26" ht="19.5" customHeight="1">
      <c r="A123" s="28"/>
      <c r="B123" s="28"/>
      <c r="C123" s="28"/>
      <c r="D123" s="29"/>
      <c r="E123" s="29"/>
      <c r="F123" s="28"/>
      <c r="G123" s="28"/>
      <c r="H123" s="28"/>
      <c r="I123" s="28"/>
      <c r="J123" s="28"/>
      <c r="K123" s="28"/>
      <c r="L123" s="28"/>
      <c r="M123" s="28"/>
      <c r="N123" s="28"/>
      <c r="O123" s="28"/>
      <c r="P123" s="28"/>
      <c r="Q123" s="28"/>
      <c r="R123" s="28"/>
      <c r="S123" s="28"/>
      <c r="T123" s="28"/>
      <c r="U123" s="7"/>
      <c r="V123" s="28"/>
      <c r="W123" s="28"/>
      <c r="X123" s="2"/>
      <c r="Y123" s="2"/>
      <c r="Z123" s="2"/>
    </row>
    <row r="124" spans="1:26" ht="19.5" customHeight="1">
      <c r="A124" s="28"/>
      <c r="B124" s="28"/>
      <c r="C124" s="28"/>
      <c r="D124" s="29"/>
      <c r="E124" s="29"/>
      <c r="F124" s="28"/>
      <c r="G124" s="28"/>
      <c r="H124" s="28"/>
      <c r="I124" s="28"/>
      <c r="J124" s="28"/>
      <c r="K124" s="28"/>
      <c r="L124" s="28"/>
      <c r="M124" s="28"/>
      <c r="N124" s="28"/>
      <c r="O124" s="28"/>
      <c r="P124" s="28"/>
      <c r="Q124" s="28"/>
      <c r="R124" s="28"/>
      <c r="S124" s="28"/>
      <c r="T124" s="28"/>
      <c r="U124" s="7"/>
      <c r="V124" s="28"/>
      <c r="W124" s="28"/>
      <c r="X124" s="2"/>
      <c r="Y124" s="2"/>
      <c r="Z124" s="2"/>
    </row>
    <row r="125" spans="1:26" ht="19.5" customHeight="1">
      <c r="A125" s="28"/>
      <c r="B125" s="28"/>
      <c r="C125" s="28"/>
      <c r="D125" s="29"/>
      <c r="E125" s="29"/>
      <c r="F125" s="28"/>
      <c r="G125" s="28"/>
      <c r="H125" s="28"/>
      <c r="I125" s="28"/>
      <c r="J125" s="28"/>
      <c r="K125" s="28"/>
      <c r="L125" s="28"/>
      <c r="M125" s="28"/>
      <c r="N125" s="28"/>
      <c r="O125" s="28"/>
      <c r="P125" s="28"/>
      <c r="Q125" s="28"/>
      <c r="R125" s="28"/>
      <c r="S125" s="28"/>
      <c r="T125" s="28"/>
      <c r="U125" s="7"/>
      <c r="V125" s="28"/>
      <c r="W125" s="28"/>
      <c r="X125" s="2"/>
      <c r="Y125" s="2"/>
      <c r="Z125" s="2"/>
    </row>
    <row r="126" spans="1:26" ht="19.5" customHeight="1">
      <c r="A126" s="28"/>
      <c r="B126" s="28"/>
      <c r="C126" s="28"/>
      <c r="D126" s="29"/>
      <c r="E126" s="29"/>
      <c r="F126" s="28"/>
      <c r="G126" s="28"/>
      <c r="H126" s="28"/>
      <c r="I126" s="28"/>
      <c r="J126" s="28"/>
      <c r="K126" s="28"/>
      <c r="L126" s="28"/>
      <c r="M126" s="28"/>
      <c r="N126" s="28"/>
      <c r="O126" s="28"/>
      <c r="P126" s="28"/>
      <c r="Q126" s="28"/>
      <c r="R126" s="28"/>
      <c r="S126" s="28"/>
      <c r="T126" s="28"/>
      <c r="U126" s="7"/>
      <c r="V126" s="28"/>
      <c r="W126" s="28"/>
      <c r="X126" s="2"/>
      <c r="Y126" s="2"/>
      <c r="Z126" s="2"/>
    </row>
    <row r="127" spans="1:26" ht="19.5" customHeight="1">
      <c r="A127" s="28"/>
      <c r="B127" s="28"/>
      <c r="C127" s="28"/>
      <c r="D127" s="29"/>
      <c r="E127" s="29"/>
      <c r="F127" s="28"/>
      <c r="G127" s="28"/>
      <c r="H127" s="28"/>
      <c r="I127" s="28"/>
      <c r="J127" s="28"/>
      <c r="K127" s="28"/>
      <c r="L127" s="28"/>
      <c r="M127" s="28"/>
      <c r="N127" s="28"/>
      <c r="O127" s="28"/>
      <c r="P127" s="28"/>
      <c r="Q127" s="28"/>
      <c r="R127" s="28"/>
      <c r="S127" s="28"/>
      <c r="T127" s="28"/>
      <c r="U127" s="7"/>
      <c r="V127" s="28"/>
      <c r="W127" s="28"/>
      <c r="X127" s="2"/>
      <c r="Y127" s="2"/>
      <c r="Z127" s="2"/>
    </row>
    <row r="128" spans="1:26" ht="19.5" customHeight="1">
      <c r="A128" s="28"/>
      <c r="B128" s="28"/>
      <c r="C128" s="28"/>
      <c r="D128" s="29"/>
      <c r="E128" s="29"/>
      <c r="F128" s="28"/>
      <c r="G128" s="28"/>
      <c r="H128" s="28"/>
      <c r="I128" s="28"/>
      <c r="J128" s="28"/>
      <c r="K128" s="28"/>
      <c r="L128" s="28"/>
      <c r="M128" s="28"/>
      <c r="N128" s="28"/>
      <c r="O128" s="28"/>
      <c r="P128" s="28"/>
      <c r="Q128" s="28"/>
      <c r="R128" s="28"/>
      <c r="S128" s="28"/>
      <c r="T128" s="28"/>
      <c r="U128" s="7"/>
      <c r="V128" s="28"/>
      <c r="W128" s="28"/>
      <c r="X128" s="2"/>
      <c r="Y128" s="2"/>
      <c r="Z128" s="2"/>
    </row>
    <row r="129" spans="1:26" ht="19.5" customHeight="1">
      <c r="A129" s="28"/>
      <c r="B129" s="28"/>
      <c r="C129" s="28"/>
      <c r="D129" s="29"/>
      <c r="E129" s="29"/>
      <c r="F129" s="28"/>
      <c r="G129" s="28"/>
      <c r="H129" s="28"/>
      <c r="I129" s="28"/>
      <c r="J129" s="28"/>
      <c r="K129" s="28"/>
      <c r="L129" s="28"/>
      <c r="M129" s="28"/>
      <c r="N129" s="28"/>
      <c r="O129" s="28"/>
      <c r="P129" s="28"/>
      <c r="Q129" s="28"/>
      <c r="R129" s="28"/>
      <c r="S129" s="28"/>
      <c r="T129" s="28"/>
      <c r="U129" s="7"/>
      <c r="V129" s="28"/>
      <c r="W129" s="28"/>
      <c r="X129" s="2"/>
      <c r="Y129" s="2"/>
      <c r="Z129" s="2"/>
    </row>
    <row r="130" spans="1:26" ht="19.5" customHeight="1">
      <c r="A130" s="28"/>
      <c r="B130" s="28"/>
      <c r="C130" s="28"/>
      <c r="D130" s="29"/>
      <c r="E130" s="29"/>
      <c r="F130" s="28"/>
      <c r="G130" s="28"/>
      <c r="H130" s="28"/>
      <c r="I130" s="28"/>
      <c r="J130" s="28"/>
      <c r="K130" s="28"/>
      <c r="L130" s="28"/>
      <c r="M130" s="28"/>
      <c r="N130" s="28"/>
      <c r="O130" s="28"/>
      <c r="P130" s="28"/>
      <c r="Q130" s="28"/>
      <c r="R130" s="28"/>
      <c r="S130" s="28"/>
      <c r="T130" s="28"/>
      <c r="U130" s="7"/>
      <c r="V130" s="28"/>
      <c r="W130" s="28"/>
      <c r="X130" s="2"/>
      <c r="Y130" s="2"/>
      <c r="Z130" s="2"/>
    </row>
    <row r="131" spans="1:26" ht="19.5" customHeight="1">
      <c r="A131" s="28"/>
      <c r="B131" s="28"/>
      <c r="C131" s="28"/>
      <c r="D131" s="29"/>
      <c r="E131" s="29"/>
      <c r="F131" s="28"/>
      <c r="G131" s="28"/>
      <c r="H131" s="28"/>
      <c r="I131" s="28"/>
      <c r="J131" s="28"/>
      <c r="K131" s="28"/>
      <c r="L131" s="28"/>
      <c r="M131" s="28"/>
      <c r="N131" s="28"/>
      <c r="O131" s="28"/>
      <c r="P131" s="28"/>
      <c r="Q131" s="28"/>
      <c r="R131" s="28"/>
      <c r="S131" s="28"/>
      <c r="T131" s="28"/>
      <c r="U131" s="7"/>
      <c r="V131" s="28"/>
      <c r="W131" s="28"/>
      <c r="X131" s="2"/>
      <c r="Y131" s="2"/>
      <c r="Z131" s="2"/>
    </row>
    <row r="132" spans="1:26" ht="19.5" customHeight="1">
      <c r="A132" s="28"/>
      <c r="B132" s="28"/>
      <c r="C132" s="28"/>
      <c r="D132" s="29"/>
      <c r="E132" s="29"/>
      <c r="F132" s="28"/>
      <c r="G132" s="28"/>
      <c r="H132" s="28"/>
      <c r="I132" s="28"/>
      <c r="J132" s="28"/>
      <c r="K132" s="28"/>
      <c r="L132" s="28"/>
      <c r="M132" s="28"/>
      <c r="N132" s="28"/>
      <c r="O132" s="28"/>
      <c r="P132" s="28"/>
      <c r="Q132" s="28"/>
      <c r="R132" s="28"/>
      <c r="S132" s="28"/>
      <c r="T132" s="28"/>
      <c r="U132" s="7"/>
      <c r="V132" s="28"/>
      <c r="W132" s="28"/>
      <c r="X132" s="2"/>
      <c r="Y132" s="2"/>
      <c r="Z132" s="2"/>
    </row>
    <row r="133" spans="1:26" ht="19.5" customHeight="1">
      <c r="A133" s="28"/>
      <c r="B133" s="28"/>
      <c r="C133" s="28"/>
      <c r="D133" s="29"/>
      <c r="E133" s="29"/>
      <c r="F133" s="28"/>
      <c r="G133" s="28"/>
      <c r="H133" s="28"/>
      <c r="I133" s="28"/>
      <c r="J133" s="28"/>
      <c r="K133" s="28"/>
      <c r="L133" s="28"/>
      <c r="M133" s="28"/>
      <c r="N133" s="28"/>
      <c r="O133" s="28"/>
      <c r="P133" s="28"/>
      <c r="Q133" s="28"/>
      <c r="R133" s="28"/>
      <c r="S133" s="28"/>
      <c r="T133" s="28"/>
      <c r="U133" s="7"/>
      <c r="V133" s="28"/>
      <c r="W133" s="28"/>
      <c r="X133" s="2"/>
      <c r="Y133" s="2"/>
      <c r="Z133" s="2"/>
    </row>
    <row r="134" spans="1:26" ht="19.5" customHeight="1">
      <c r="A134" s="28"/>
      <c r="B134" s="28"/>
      <c r="C134" s="28"/>
      <c r="D134" s="29"/>
      <c r="E134" s="29"/>
      <c r="F134" s="28"/>
      <c r="G134" s="28"/>
      <c r="H134" s="28"/>
      <c r="I134" s="28"/>
      <c r="J134" s="28"/>
      <c r="K134" s="28"/>
      <c r="L134" s="28"/>
      <c r="M134" s="28"/>
      <c r="N134" s="28"/>
      <c r="O134" s="28"/>
      <c r="P134" s="28"/>
      <c r="Q134" s="28"/>
      <c r="R134" s="28"/>
      <c r="S134" s="28"/>
      <c r="T134" s="28"/>
      <c r="U134" s="7"/>
      <c r="V134" s="28"/>
      <c r="W134" s="28"/>
      <c r="X134" s="2"/>
      <c r="Y134" s="2"/>
      <c r="Z134" s="2"/>
    </row>
    <row r="135" spans="1:26" ht="19.5" customHeight="1">
      <c r="A135" s="28"/>
      <c r="B135" s="28"/>
      <c r="C135" s="28"/>
      <c r="D135" s="29"/>
      <c r="E135" s="29"/>
      <c r="F135" s="28"/>
      <c r="G135" s="28"/>
      <c r="H135" s="28"/>
      <c r="I135" s="28"/>
      <c r="J135" s="28"/>
      <c r="K135" s="28"/>
      <c r="L135" s="28"/>
      <c r="M135" s="28"/>
      <c r="N135" s="28"/>
      <c r="O135" s="28"/>
      <c r="P135" s="28"/>
      <c r="Q135" s="28"/>
      <c r="R135" s="28"/>
      <c r="S135" s="28"/>
      <c r="T135" s="28"/>
      <c r="U135" s="7"/>
      <c r="V135" s="28"/>
      <c r="W135" s="28"/>
      <c r="X135" s="2"/>
      <c r="Y135" s="2"/>
      <c r="Z135" s="2"/>
    </row>
    <row r="136" spans="1:26" ht="19.5" customHeight="1">
      <c r="A136" s="28"/>
      <c r="B136" s="28"/>
      <c r="C136" s="28"/>
      <c r="D136" s="29"/>
      <c r="E136" s="29"/>
      <c r="F136" s="28"/>
      <c r="G136" s="28"/>
      <c r="H136" s="28"/>
      <c r="I136" s="28"/>
      <c r="J136" s="28"/>
      <c r="K136" s="28"/>
      <c r="L136" s="28"/>
      <c r="M136" s="28"/>
      <c r="N136" s="28"/>
      <c r="O136" s="28"/>
      <c r="P136" s="28"/>
      <c r="Q136" s="28"/>
      <c r="R136" s="28"/>
      <c r="S136" s="28"/>
      <c r="T136" s="28"/>
      <c r="U136" s="7"/>
      <c r="V136" s="28"/>
      <c r="W136" s="28"/>
      <c r="X136" s="2"/>
      <c r="Y136" s="2"/>
      <c r="Z136" s="2"/>
    </row>
    <row r="137" spans="1:26" ht="19.5" customHeight="1">
      <c r="A137" s="28"/>
      <c r="B137" s="28"/>
      <c r="C137" s="28"/>
      <c r="D137" s="29"/>
      <c r="E137" s="29"/>
      <c r="F137" s="28"/>
      <c r="G137" s="28"/>
      <c r="H137" s="28"/>
      <c r="I137" s="28"/>
      <c r="J137" s="28"/>
      <c r="K137" s="28"/>
      <c r="L137" s="28"/>
      <c r="M137" s="28"/>
      <c r="N137" s="28"/>
      <c r="O137" s="28"/>
      <c r="P137" s="28"/>
      <c r="Q137" s="28"/>
      <c r="R137" s="28"/>
      <c r="S137" s="28"/>
      <c r="T137" s="28"/>
      <c r="U137" s="7"/>
      <c r="V137" s="28"/>
      <c r="W137" s="28"/>
      <c r="X137" s="2"/>
      <c r="Y137" s="2"/>
      <c r="Z137" s="2"/>
    </row>
    <row r="138" spans="1:26" ht="19.5" customHeight="1">
      <c r="A138" s="28"/>
      <c r="B138" s="28"/>
      <c r="C138" s="28"/>
      <c r="D138" s="29"/>
      <c r="E138" s="29"/>
      <c r="F138" s="28"/>
      <c r="G138" s="28"/>
      <c r="H138" s="28"/>
      <c r="I138" s="28"/>
      <c r="J138" s="28"/>
      <c r="K138" s="28"/>
      <c r="L138" s="28"/>
      <c r="M138" s="28"/>
      <c r="N138" s="28"/>
      <c r="O138" s="28"/>
      <c r="P138" s="28"/>
      <c r="Q138" s="28"/>
      <c r="R138" s="28"/>
      <c r="S138" s="28"/>
      <c r="T138" s="28"/>
      <c r="U138" s="7"/>
      <c r="V138" s="28"/>
      <c r="W138" s="28"/>
      <c r="X138" s="2"/>
      <c r="Y138" s="2"/>
      <c r="Z138" s="2"/>
    </row>
    <row r="139" spans="1:26" ht="19.5" customHeight="1">
      <c r="A139" s="28"/>
      <c r="B139" s="28"/>
      <c r="C139" s="28"/>
      <c r="D139" s="29"/>
      <c r="E139" s="29"/>
      <c r="F139" s="28"/>
      <c r="G139" s="28"/>
      <c r="H139" s="28"/>
      <c r="I139" s="28"/>
      <c r="J139" s="28"/>
      <c r="K139" s="28"/>
      <c r="L139" s="28"/>
      <c r="M139" s="28"/>
      <c r="N139" s="28"/>
      <c r="O139" s="28"/>
      <c r="P139" s="28"/>
      <c r="Q139" s="28"/>
      <c r="R139" s="28"/>
      <c r="S139" s="28"/>
      <c r="T139" s="28"/>
      <c r="U139" s="7"/>
      <c r="V139" s="28"/>
      <c r="W139" s="28"/>
      <c r="X139" s="2"/>
      <c r="Y139" s="2"/>
      <c r="Z139" s="2"/>
    </row>
    <row r="140" spans="1:26" ht="19.5" customHeight="1">
      <c r="A140" s="28"/>
      <c r="B140" s="28"/>
      <c r="C140" s="28"/>
      <c r="D140" s="29"/>
      <c r="E140" s="29"/>
      <c r="F140" s="28"/>
      <c r="G140" s="28"/>
      <c r="H140" s="28"/>
      <c r="I140" s="28"/>
      <c r="J140" s="28"/>
      <c r="K140" s="28"/>
      <c r="L140" s="28"/>
      <c r="M140" s="28"/>
      <c r="N140" s="28"/>
      <c r="O140" s="28"/>
      <c r="P140" s="28"/>
      <c r="Q140" s="28"/>
      <c r="R140" s="28"/>
      <c r="S140" s="28"/>
      <c r="T140" s="28"/>
      <c r="U140" s="7"/>
      <c r="V140" s="28"/>
      <c r="W140" s="28"/>
      <c r="X140" s="2"/>
      <c r="Y140" s="2"/>
      <c r="Z140" s="2"/>
    </row>
    <row r="141" spans="1:26" ht="19.5" customHeight="1">
      <c r="A141" s="28"/>
      <c r="B141" s="28"/>
      <c r="C141" s="28"/>
      <c r="D141" s="29"/>
      <c r="E141" s="29"/>
      <c r="F141" s="28"/>
      <c r="G141" s="28"/>
      <c r="H141" s="28"/>
      <c r="I141" s="28"/>
      <c r="J141" s="28"/>
      <c r="K141" s="28"/>
      <c r="L141" s="28"/>
      <c r="M141" s="28"/>
      <c r="N141" s="28"/>
      <c r="O141" s="28"/>
      <c r="P141" s="28"/>
      <c r="Q141" s="28"/>
      <c r="R141" s="28"/>
      <c r="S141" s="28"/>
      <c r="T141" s="28"/>
      <c r="U141" s="7"/>
      <c r="V141" s="28"/>
      <c r="W141" s="28"/>
      <c r="X141" s="2"/>
      <c r="Y141" s="2"/>
      <c r="Z141" s="2"/>
    </row>
    <row r="142" spans="1:26" ht="19.5" customHeight="1">
      <c r="A142" s="28"/>
      <c r="B142" s="28"/>
      <c r="C142" s="28"/>
      <c r="D142" s="29"/>
      <c r="E142" s="29"/>
      <c r="F142" s="28"/>
      <c r="G142" s="28"/>
      <c r="H142" s="28"/>
      <c r="I142" s="28"/>
      <c r="J142" s="28"/>
      <c r="K142" s="28"/>
      <c r="L142" s="28"/>
      <c r="M142" s="28"/>
      <c r="N142" s="28"/>
      <c r="O142" s="28"/>
      <c r="P142" s="28"/>
      <c r="Q142" s="28"/>
      <c r="R142" s="28"/>
      <c r="S142" s="28"/>
      <c r="T142" s="28"/>
      <c r="U142" s="7"/>
      <c r="V142" s="28"/>
      <c r="W142" s="28"/>
      <c r="X142" s="2"/>
      <c r="Y142" s="2"/>
      <c r="Z142" s="2"/>
    </row>
    <row r="143" spans="1:26" ht="19.5" customHeight="1">
      <c r="A143" s="28"/>
      <c r="B143" s="28"/>
      <c r="C143" s="28"/>
      <c r="D143" s="29"/>
      <c r="E143" s="29"/>
      <c r="F143" s="28"/>
      <c r="G143" s="28"/>
      <c r="H143" s="28"/>
      <c r="I143" s="28"/>
      <c r="J143" s="28"/>
      <c r="K143" s="28"/>
      <c r="L143" s="28"/>
      <c r="M143" s="28"/>
      <c r="N143" s="28"/>
      <c r="O143" s="28"/>
      <c r="P143" s="28"/>
      <c r="Q143" s="28"/>
      <c r="R143" s="28"/>
      <c r="S143" s="28"/>
      <c r="T143" s="28"/>
      <c r="U143" s="7"/>
      <c r="V143" s="28"/>
      <c r="W143" s="28"/>
      <c r="X143" s="2"/>
      <c r="Y143" s="2"/>
      <c r="Z143" s="2"/>
    </row>
    <row r="144" spans="1:26" ht="19.5" customHeight="1">
      <c r="A144" s="28"/>
      <c r="B144" s="28"/>
      <c r="C144" s="28"/>
      <c r="D144" s="29"/>
      <c r="E144" s="29"/>
      <c r="F144" s="28"/>
      <c r="G144" s="28"/>
      <c r="H144" s="28"/>
      <c r="I144" s="28"/>
      <c r="J144" s="28"/>
      <c r="K144" s="28"/>
      <c r="L144" s="28"/>
      <c r="M144" s="28"/>
      <c r="N144" s="28"/>
      <c r="O144" s="28"/>
      <c r="P144" s="28"/>
      <c r="Q144" s="28"/>
      <c r="R144" s="28"/>
      <c r="S144" s="28"/>
      <c r="T144" s="28"/>
      <c r="U144" s="7"/>
      <c r="V144" s="28"/>
      <c r="W144" s="28"/>
      <c r="X144" s="2"/>
      <c r="Y144" s="2"/>
      <c r="Z144" s="2"/>
    </row>
    <row r="145" spans="1:26" ht="19.5" customHeight="1">
      <c r="A145" s="28"/>
      <c r="B145" s="28"/>
      <c r="C145" s="28"/>
      <c r="D145" s="29"/>
      <c r="E145" s="29"/>
      <c r="F145" s="28"/>
      <c r="G145" s="28"/>
      <c r="H145" s="28"/>
      <c r="I145" s="28"/>
      <c r="J145" s="28"/>
      <c r="K145" s="28"/>
      <c r="L145" s="28"/>
      <c r="M145" s="28"/>
      <c r="N145" s="28"/>
      <c r="O145" s="28"/>
      <c r="P145" s="28"/>
      <c r="Q145" s="28"/>
      <c r="R145" s="28"/>
      <c r="S145" s="28"/>
      <c r="T145" s="28"/>
      <c r="U145" s="7"/>
      <c r="V145" s="28"/>
      <c r="W145" s="28"/>
      <c r="X145" s="2"/>
      <c r="Y145" s="2"/>
      <c r="Z145" s="2"/>
    </row>
    <row r="146" spans="1:26" ht="19.5" customHeight="1">
      <c r="A146" s="28"/>
      <c r="B146" s="28"/>
      <c r="C146" s="28"/>
      <c r="D146" s="29"/>
      <c r="E146" s="29"/>
      <c r="F146" s="28"/>
      <c r="G146" s="28"/>
      <c r="H146" s="28"/>
      <c r="I146" s="28"/>
      <c r="J146" s="28"/>
      <c r="K146" s="28"/>
      <c r="L146" s="28"/>
      <c r="M146" s="28"/>
      <c r="N146" s="28"/>
      <c r="O146" s="28"/>
      <c r="P146" s="28"/>
      <c r="Q146" s="28"/>
      <c r="R146" s="28"/>
      <c r="S146" s="28"/>
      <c r="T146" s="28"/>
      <c r="U146" s="7"/>
      <c r="V146" s="28"/>
      <c r="W146" s="28"/>
      <c r="X146" s="2"/>
      <c r="Y146" s="2"/>
      <c r="Z146" s="2"/>
    </row>
    <row r="147" spans="1:26" ht="19.5" customHeight="1">
      <c r="A147" s="28"/>
      <c r="B147" s="28"/>
      <c r="C147" s="28"/>
      <c r="D147" s="29"/>
      <c r="E147" s="29"/>
      <c r="F147" s="28"/>
      <c r="G147" s="28"/>
      <c r="H147" s="28"/>
      <c r="I147" s="28"/>
      <c r="J147" s="28"/>
      <c r="K147" s="28"/>
      <c r="L147" s="28"/>
      <c r="M147" s="28"/>
      <c r="N147" s="28"/>
      <c r="O147" s="28"/>
      <c r="P147" s="28"/>
      <c r="Q147" s="28"/>
      <c r="R147" s="28"/>
      <c r="S147" s="28"/>
      <c r="T147" s="28"/>
      <c r="U147" s="7"/>
      <c r="V147" s="28"/>
      <c r="W147" s="28"/>
      <c r="X147" s="2"/>
      <c r="Y147" s="2"/>
      <c r="Z147" s="2"/>
    </row>
    <row r="148" spans="1:26" ht="19.5" customHeight="1">
      <c r="A148" s="28"/>
      <c r="B148" s="28"/>
      <c r="C148" s="28"/>
      <c r="D148" s="29"/>
      <c r="E148" s="29"/>
      <c r="F148" s="28"/>
      <c r="G148" s="28"/>
      <c r="H148" s="28"/>
      <c r="I148" s="28"/>
      <c r="J148" s="28"/>
      <c r="K148" s="28"/>
      <c r="L148" s="28"/>
      <c r="M148" s="28"/>
      <c r="N148" s="28"/>
      <c r="O148" s="28"/>
      <c r="P148" s="28"/>
      <c r="Q148" s="28"/>
      <c r="R148" s="28"/>
      <c r="S148" s="28"/>
      <c r="T148" s="28"/>
      <c r="U148" s="7"/>
      <c r="V148" s="28"/>
      <c r="W148" s="28"/>
      <c r="X148" s="2"/>
      <c r="Y148" s="2"/>
      <c r="Z148" s="2"/>
    </row>
    <row r="149" spans="1:26" ht="19.5" customHeight="1">
      <c r="A149" s="28"/>
      <c r="B149" s="28"/>
      <c r="C149" s="28"/>
      <c r="D149" s="29"/>
      <c r="E149" s="29"/>
      <c r="F149" s="28"/>
      <c r="G149" s="28"/>
      <c r="H149" s="28"/>
      <c r="I149" s="28"/>
      <c r="J149" s="28"/>
      <c r="K149" s="28"/>
      <c r="L149" s="28"/>
      <c r="M149" s="28"/>
      <c r="N149" s="28"/>
      <c r="O149" s="28"/>
      <c r="P149" s="28"/>
      <c r="Q149" s="28"/>
      <c r="R149" s="28"/>
      <c r="S149" s="28"/>
      <c r="T149" s="28"/>
      <c r="U149" s="7"/>
      <c r="V149" s="28"/>
      <c r="W149" s="28"/>
      <c r="X149" s="2"/>
      <c r="Y149" s="2"/>
      <c r="Z149" s="2"/>
    </row>
    <row r="150" spans="1:26" ht="19.5" customHeight="1">
      <c r="A150" s="28"/>
      <c r="B150" s="28"/>
      <c r="C150" s="28"/>
      <c r="D150" s="29"/>
      <c r="E150" s="29"/>
      <c r="F150" s="28"/>
      <c r="G150" s="28"/>
      <c r="H150" s="28"/>
      <c r="I150" s="28"/>
      <c r="J150" s="28"/>
      <c r="K150" s="28"/>
      <c r="L150" s="28"/>
      <c r="M150" s="28"/>
      <c r="N150" s="28"/>
      <c r="O150" s="28"/>
      <c r="P150" s="28"/>
      <c r="Q150" s="28"/>
      <c r="R150" s="28"/>
      <c r="S150" s="28"/>
      <c r="T150" s="28"/>
      <c r="U150" s="7"/>
      <c r="V150" s="28"/>
      <c r="W150" s="28"/>
      <c r="X150" s="2"/>
      <c r="Y150" s="2"/>
      <c r="Z150" s="2"/>
    </row>
    <row r="151" spans="1:26" ht="19.5" customHeight="1">
      <c r="A151" s="28"/>
      <c r="B151" s="28"/>
      <c r="C151" s="28"/>
      <c r="D151" s="29"/>
      <c r="E151" s="29"/>
      <c r="F151" s="28"/>
      <c r="G151" s="28"/>
      <c r="H151" s="28"/>
      <c r="I151" s="28"/>
      <c r="J151" s="28"/>
      <c r="K151" s="28"/>
      <c r="L151" s="28"/>
      <c r="M151" s="28"/>
      <c r="N151" s="28"/>
      <c r="O151" s="28"/>
      <c r="P151" s="28"/>
      <c r="Q151" s="28"/>
      <c r="R151" s="28"/>
      <c r="S151" s="28"/>
      <c r="T151" s="28"/>
      <c r="U151" s="7"/>
      <c r="V151" s="28"/>
      <c r="W151" s="28"/>
      <c r="X151" s="2"/>
      <c r="Y151" s="2"/>
      <c r="Z151" s="2"/>
    </row>
    <row r="152" spans="1:26" ht="19.5" customHeight="1">
      <c r="A152" s="28"/>
      <c r="B152" s="28"/>
      <c r="C152" s="28"/>
      <c r="D152" s="29"/>
      <c r="E152" s="29"/>
      <c r="F152" s="28"/>
      <c r="G152" s="28"/>
      <c r="H152" s="28"/>
      <c r="I152" s="28"/>
      <c r="J152" s="28"/>
      <c r="K152" s="28"/>
      <c r="L152" s="28"/>
      <c r="M152" s="28"/>
      <c r="N152" s="28"/>
      <c r="O152" s="28"/>
      <c r="P152" s="28"/>
      <c r="Q152" s="28"/>
      <c r="R152" s="28"/>
      <c r="S152" s="28"/>
      <c r="T152" s="28"/>
      <c r="U152" s="7"/>
      <c r="V152" s="28"/>
      <c r="W152" s="28"/>
      <c r="X152" s="2"/>
      <c r="Y152" s="2"/>
      <c r="Z152" s="2"/>
    </row>
    <row r="153" spans="1:26" ht="19.5" customHeight="1">
      <c r="A153" s="28"/>
      <c r="B153" s="28"/>
      <c r="C153" s="28"/>
      <c r="D153" s="29"/>
      <c r="E153" s="29"/>
      <c r="F153" s="28"/>
      <c r="G153" s="28"/>
      <c r="H153" s="28"/>
      <c r="I153" s="28"/>
      <c r="J153" s="28"/>
      <c r="K153" s="28"/>
      <c r="L153" s="28"/>
      <c r="M153" s="28"/>
      <c r="N153" s="28"/>
      <c r="O153" s="28"/>
      <c r="P153" s="28"/>
      <c r="Q153" s="28"/>
      <c r="R153" s="28"/>
      <c r="S153" s="28"/>
      <c r="T153" s="28"/>
      <c r="U153" s="7"/>
      <c r="V153" s="28"/>
      <c r="W153" s="28"/>
      <c r="X153" s="2"/>
      <c r="Y153" s="2"/>
      <c r="Z153" s="2"/>
    </row>
    <row r="154" spans="1:26" ht="19.5" customHeight="1">
      <c r="A154" s="28"/>
      <c r="B154" s="28"/>
      <c r="C154" s="28"/>
      <c r="D154" s="29"/>
      <c r="E154" s="29"/>
      <c r="F154" s="28"/>
      <c r="G154" s="28"/>
      <c r="H154" s="28"/>
      <c r="I154" s="28"/>
      <c r="J154" s="28"/>
      <c r="K154" s="28"/>
      <c r="L154" s="28"/>
      <c r="M154" s="28"/>
      <c r="N154" s="28"/>
      <c r="O154" s="28"/>
      <c r="P154" s="28"/>
      <c r="Q154" s="28"/>
      <c r="R154" s="28"/>
      <c r="S154" s="28"/>
      <c r="T154" s="28"/>
      <c r="U154" s="7"/>
      <c r="V154" s="28"/>
      <c r="W154" s="28"/>
      <c r="X154" s="2"/>
      <c r="Y154" s="2"/>
      <c r="Z154" s="2"/>
    </row>
    <row r="155" spans="1:26" ht="19.5" customHeight="1">
      <c r="A155" s="28"/>
      <c r="B155" s="28"/>
      <c r="C155" s="28"/>
      <c r="D155" s="29"/>
      <c r="E155" s="29"/>
      <c r="F155" s="28"/>
      <c r="G155" s="28"/>
      <c r="H155" s="28"/>
      <c r="I155" s="28"/>
      <c r="J155" s="28"/>
      <c r="K155" s="28"/>
      <c r="L155" s="28"/>
      <c r="M155" s="28"/>
      <c r="N155" s="28"/>
      <c r="O155" s="28"/>
      <c r="P155" s="28"/>
      <c r="Q155" s="28"/>
      <c r="R155" s="28"/>
      <c r="S155" s="28"/>
      <c r="T155" s="28"/>
      <c r="U155" s="7"/>
      <c r="V155" s="28"/>
      <c r="W155" s="28"/>
      <c r="X155" s="2"/>
      <c r="Y155" s="2"/>
      <c r="Z155" s="2"/>
    </row>
    <row r="156" spans="1:26" ht="19.5" customHeight="1">
      <c r="A156" s="28"/>
      <c r="B156" s="28"/>
      <c r="C156" s="28"/>
      <c r="D156" s="29"/>
      <c r="E156" s="29"/>
      <c r="F156" s="28"/>
      <c r="G156" s="28"/>
      <c r="H156" s="28"/>
      <c r="I156" s="28"/>
      <c r="J156" s="28"/>
      <c r="K156" s="28"/>
      <c r="L156" s="28"/>
      <c r="M156" s="28"/>
      <c r="N156" s="28"/>
      <c r="O156" s="28"/>
      <c r="P156" s="28"/>
      <c r="Q156" s="28"/>
      <c r="R156" s="28"/>
      <c r="S156" s="28"/>
      <c r="T156" s="28"/>
      <c r="U156" s="7"/>
      <c r="V156" s="28"/>
      <c r="W156" s="28"/>
      <c r="X156" s="2"/>
      <c r="Y156" s="2"/>
      <c r="Z156" s="2"/>
    </row>
    <row r="157" spans="1:26" ht="19.5" customHeight="1">
      <c r="A157" s="28"/>
      <c r="B157" s="28"/>
      <c r="C157" s="28"/>
      <c r="D157" s="29"/>
      <c r="E157" s="29"/>
      <c r="F157" s="28"/>
      <c r="G157" s="28"/>
      <c r="H157" s="28"/>
      <c r="I157" s="28"/>
      <c r="J157" s="28"/>
      <c r="K157" s="28"/>
      <c r="L157" s="28"/>
      <c r="M157" s="28"/>
      <c r="N157" s="28"/>
      <c r="O157" s="28"/>
      <c r="P157" s="28"/>
      <c r="Q157" s="28"/>
      <c r="R157" s="28"/>
      <c r="S157" s="28"/>
      <c r="T157" s="28"/>
      <c r="U157" s="7"/>
      <c r="V157" s="28"/>
      <c r="W157" s="28"/>
      <c r="X157" s="2"/>
      <c r="Y157" s="2"/>
      <c r="Z157" s="2"/>
    </row>
    <row r="158" spans="1:26" ht="19.5" customHeight="1">
      <c r="A158" s="28"/>
      <c r="B158" s="28"/>
      <c r="C158" s="28"/>
      <c r="D158" s="29"/>
      <c r="E158" s="29"/>
      <c r="F158" s="28"/>
      <c r="G158" s="28"/>
      <c r="H158" s="28"/>
      <c r="I158" s="28"/>
      <c r="J158" s="28"/>
      <c r="K158" s="28"/>
      <c r="L158" s="28"/>
      <c r="M158" s="28"/>
      <c r="N158" s="28"/>
      <c r="O158" s="28"/>
      <c r="P158" s="28"/>
      <c r="Q158" s="28"/>
      <c r="R158" s="28"/>
      <c r="S158" s="28"/>
      <c r="T158" s="28"/>
      <c r="U158" s="7"/>
      <c r="V158" s="28"/>
      <c r="W158" s="28"/>
      <c r="X158" s="2"/>
      <c r="Y158" s="2"/>
      <c r="Z158" s="2"/>
    </row>
    <row r="159" spans="1:26" ht="19.5" customHeight="1">
      <c r="A159" s="28"/>
      <c r="B159" s="28"/>
      <c r="C159" s="28"/>
      <c r="D159" s="29"/>
      <c r="E159" s="29"/>
      <c r="F159" s="28"/>
      <c r="G159" s="28"/>
      <c r="H159" s="28"/>
      <c r="I159" s="28"/>
      <c r="J159" s="28"/>
      <c r="K159" s="28"/>
      <c r="L159" s="28"/>
      <c r="M159" s="28"/>
      <c r="N159" s="28"/>
      <c r="O159" s="28"/>
      <c r="P159" s="28"/>
      <c r="Q159" s="28"/>
      <c r="R159" s="28"/>
      <c r="S159" s="28"/>
      <c r="T159" s="28"/>
      <c r="U159" s="7"/>
      <c r="V159" s="28"/>
      <c r="W159" s="28"/>
      <c r="X159" s="2"/>
      <c r="Y159" s="2"/>
      <c r="Z159" s="2"/>
    </row>
    <row r="160" spans="1:26" ht="19.5" customHeight="1">
      <c r="A160" s="28"/>
      <c r="B160" s="28"/>
      <c r="C160" s="28"/>
      <c r="D160" s="29"/>
      <c r="E160" s="29"/>
      <c r="F160" s="28"/>
      <c r="G160" s="28"/>
      <c r="H160" s="28"/>
      <c r="I160" s="28"/>
      <c r="J160" s="28"/>
      <c r="K160" s="28"/>
      <c r="L160" s="28"/>
      <c r="M160" s="28"/>
      <c r="N160" s="28"/>
      <c r="O160" s="28"/>
      <c r="P160" s="28"/>
      <c r="Q160" s="28"/>
      <c r="R160" s="28"/>
      <c r="S160" s="28"/>
      <c r="T160" s="28"/>
      <c r="U160" s="7"/>
      <c r="V160" s="28"/>
      <c r="W160" s="28"/>
      <c r="X160" s="2"/>
      <c r="Y160" s="2"/>
      <c r="Z160" s="2"/>
    </row>
    <row r="161" spans="1:26" ht="19.5" customHeight="1">
      <c r="A161" s="28"/>
      <c r="B161" s="28"/>
      <c r="C161" s="28"/>
      <c r="D161" s="29"/>
      <c r="E161" s="29"/>
      <c r="F161" s="28"/>
      <c r="G161" s="28"/>
      <c r="H161" s="28"/>
      <c r="I161" s="28"/>
      <c r="J161" s="28"/>
      <c r="K161" s="28"/>
      <c r="L161" s="28"/>
      <c r="M161" s="28"/>
      <c r="N161" s="28"/>
      <c r="O161" s="28"/>
      <c r="P161" s="28"/>
      <c r="Q161" s="28"/>
      <c r="R161" s="28"/>
      <c r="S161" s="28"/>
      <c r="T161" s="28"/>
      <c r="U161" s="7"/>
      <c r="V161" s="28"/>
      <c r="W161" s="28"/>
      <c r="X161" s="2"/>
      <c r="Y161" s="2"/>
      <c r="Z161" s="2"/>
    </row>
    <row r="162" spans="1:26" ht="19.5" customHeight="1">
      <c r="A162" s="28"/>
      <c r="B162" s="28"/>
      <c r="C162" s="28"/>
      <c r="D162" s="29"/>
      <c r="E162" s="29"/>
      <c r="F162" s="28"/>
      <c r="G162" s="28"/>
      <c r="H162" s="28"/>
      <c r="I162" s="28"/>
      <c r="J162" s="28"/>
      <c r="K162" s="28"/>
      <c r="L162" s="28"/>
      <c r="M162" s="28"/>
      <c r="N162" s="28"/>
      <c r="O162" s="28"/>
      <c r="P162" s="28"/>
      <c r="Q162" s="28"/>
      <c r="R162" s="28"/>
      <c r="S162" s="28"/>
      <c r="T162" s="28"/>
      <c r="U162" s="7"/>
      <c r="V162" s="28"/>
      <c r="W162" s="28"/>
      <c r="X162" s="2"/>
      <c r="Y162" s="2"/>
      <c r="Z162" s="2"/>
    </row>
    <row r="163" spans="1:26" ht="19.5" customHeight="1">
      <c r="A163" s="28"/>
      <c r="B163" s="28"/>
      <c r="C163" s="28"/>
      <c r="D163" s="29"/>
      <c r="E163" s="29"/>
      <c r="F163" s="28"/>
      <c r="G163" s="28"/>
      <c r="H163" s="28"/>
      <c r="I163" s="28"/>
      <c r="J163" s="28"/>
      <c r="K163" s="28"/>
      <c r="L163" s="28"/>
      <c r="M163" s="28"/>
      <c r="N163" s="28"/>
      <c r="O163" s="28"/>
      <c r="P163" s="28"/>
      <c r="Q163" s="28"/>
      <c r="R163" s="28"/>
      <c r="S163" s="28"/>
      <c r="T163" s="28"/>
      <c r="U163" s="7"/>
      <c r="V163" s="28"/>
      <c r="W163" s="28"/>
      <c r="X163" s="2"/>
      <c r="Y163" s="2"/>
      <c r="Z163" s="2"/>
    </row>
    <row r="164" spans="1:26" ht="19.5" customHeight="1">
      <c r="A164" s="28"/>
      <c r="B164" s="28"/>
      <c r="C164" s="28"/>
      <c r="D164" s="29"/>
      <c r="E164" s="29"/>
      <c r="F164" s="28"/>
      <c r="G164" s="28"/>
      <c r="H164" s="28"/>
      <c r="I164" s="28"/>
      <c r="J164" s="28"/>
      <c r="K164" s="28"/>
      <c r="L164" s="28"/>
      <c r="M164" s="28"/>
      <c r="N164" s="28"/>
      <c r="O164" s="28"/>
      <c r="P164" s="28"/>
      <c r="Q164" s="28"/>
      <c r="R164" s="28"/>
      <c r="S164" s="28"/>
      <c r="T164" s="28"/>
      <c r="U164" s="7"/>
      <c r="V164" s="28"/>
      <c r="W164" s="28"/>
      <c r="X164" s="2"/>
      <c r="Y164" s="2"/>
      <c r="Z164" s="2"/>
    </row>
    <row r="165" spans="1:26" ht="19.5" customHeight="1">
      <c r="A165" s="28"/>
      <c r="B165" s="28"/>
      <c r="C165" s="28"/>
      <c r="D165" s="29"/>
      <c r="E165" s="29"/>
      <c r="F165" s="28"/>
      <c r="G165" s="28"/>
      <c r="H165" s="28"/>
      <c r="I165" s="28"/>
      <c r="J165" s="28"/>
      <c r="K165" s="28"/>
      <c r="L165" s="28"/>
      <c r="M165" s="28"/>
      <c r="N165" s="28"/>
      <c r="O165" s="28"/>
      <c r="P165" s="28"/>
      <c r="Q165" s="28"/>
      <c r="R165" s="28"/>
      <c r="S165" s="28"/>
      <c r="T165" s="28"/>
      <c r="U165" s="7"/>
      <c r="V165" s="28"/>
      <c r="W165" s="28"/>
      <c r="X165" s="2"/>
      <c r="Y165" s="2"/>
      <c r="Z165" s="2"/>
    </row>
    <row r="166" spans="1:26" ht="19.5" customHeight="1">
      <c r="A166" s="28"/>
      <c r="B166" s="28"/>
      <c r="C166" s="28"/>
      <c r="D166" s="29"/>
      <c r="E166" s="29"/>
      <c r="F166" s="28"/>
      <c r="G166" s="28"/>
      <c r="H166" s="28"/>
      <c r="I166" s="28"/>
      <c r="J166" s="28"/>
      <c r="K166" s="28"/>
      <c r="L166" s="28"/>
      <c r="M166" s="28"/>
      <c r="N166" s="28"/>
      <c r="O166" s="28"/>
      <c r="P166" s="28"/>
      <c r="Q166" s="28"/>
      <c r="R166" s="28"/>
      <c r="S166" s="28"/>
      <c r="T166" s="28"/>
      <c r="U166" s="7"/>
      <c r="V166" s="28"/>
      <c r="W166" s="28"/>
      <c r="X166" s="2"/>
      <c r="Y166" s="2"/>
      <c r="Z166" s="2"/>
    </row>
    <row r="167" spans="1:26" ht="19.5" customHeight="1">
      <c r="A167" s="28"/>
      <c r="B167" s="28"/>
      <c r="C167" s="28"/>
      <c r="D167" s="29"/>
      <c r="E167" s="29"/>
      <c r="F167" s="28"/>
      <c r="G167" s="28"/>
      <c r="H167" s="28"/>
      <c r="I167" s="28"/>
      <c r="J167" s="28"/>
      <c r="K167" s="28"/>
      <c r="L167" s="28"/>
      <c r="M167" s="28"/>
      <c r="N167" s="28"/>
      <c r="O167" s="28"/>
      <c r="P167" s="28"/>
      <c r="Q167" s="28"/>
      <c r="R167" s="28"/>
      <c r="S167" s="28"/>
      <c r="T167" s="28"/>
      <c r="U167" s="7"/>
      <c r="V167" s="28"/>
      <c r="W167" s="28"/>
      <c r="X167" s="2"/>
      <c r="Y167" s="2"/>
      <c r="Z167" s="2"/>
    </row>
    <row r="168" spans="1:26" ht="19.5" customHeight="1">
      <c r="A168" s="28"/>
      <c r="B168" s="28"/>
      <c r="C168" s="28"/>
      <c r="D168" s="29"/>
      <c r="E168" s="29"/>
      <c r="F168" s="28"/>
      <c r="G168" s="28"/>
      <c r="H168" s="28"/>
      <c r="I168" s="28"/>
      <c r="J168" s="28"/>
      <c r="K168" s="28"/>
      <c r="L168" s="28"/>
      <c r="M168" s="28"/>
      <c r="N168" s="28"/>
      <c r="O168" s="28"/>
      <c r="P168" s="28"/>
      <c r="Q168" s="28"/>
      <c r="R168" s="28"/>
      <c r="S168" s="28"/>
      <c r="T168" s="28"/>
      <c r="U168" s="7"/>
      <c r="V168" s="28"/>
      <c r="W168" s="28"/>
      <c r="X168" s="2"/>
      <c r="Y168" s="2"/>
      <c r="Z168" s="2"/>
    </row>
    <row r="169" spans="1:26" ht="19.5" customHeight="1">
      <c r="A169" s="28"/>
      <c r="B169" s="28"/>
      <c r="C169" s="28"/>
      <c r="D169" s="29"/>
      <c r="E169" s="29"/>
      <c r="F169" s="28"/>
      <c r="G169" s="28"/>
      <c r="H169" s="28"/>
      <c r="I169" s="28"/>
      <c r="J169" s="28"/>
      <c r="K169" s="28"/>
      <c r="L169" s="28"/>
      <c r="M169" s="28"/>
      <c r="N169" s="28"/>
      <c r="O169" s="28"/>
      <c r="P169" s="28"/>
      <c r="Q169" s="28"/>
      <c r="R169" s="28"/>
      <c r="S169" s="28"/>
      <c r="T169" s="28"/>
      <c r="U169" s="7"/>
      <c r="V169" s="28"/>
      <c r="W169" s="28"/>
      <c r="X169" s="2"/>
      <c r="Y169" s="2"/>
      <c r="Z169" s="2"/>
    </row>
    <row r="170" spans="1:26" ht="19.5" customHeight="1">
      <c r="A170" s="28"/>
      <c r="B170" s="28"/>
      <c r="C170" s="28"/>
      <c r="D170" s="29"/>
      <c r="E170" s="29"/>
      <c r="F170" s="28"/>
      <c r="G170" s="28"/>
      <c r="H170" s="28"/>
      <c r="I170" s="28"/>
      <c r="J170" s="28"/>
      <c r="K170" s="28"/>
      <c r="L170" s="28"/>
      <c r="M170" s="28"/>
      <c r="N170" s="28"/>
      <c r="O170" s="28"/>
      <c r="P170" s="28"/>
      <c r="Q170" s="28"/>
      <c r="R170" s="28"/>
      <c r="S170" s="28"/>
      <c r="T170" s="28"/>
      <c r="U170" s="7"/>
      <c r="V170" s="28"/>
      <c r="W170" s="28"/>
      <c r="X170" s="2"/>
      <c r="Y170" s="2"/>
      <c r="Z170" s="2"/>
    </row>
    <row r="171" spans="1:26" ht="19.5" customHeight="1">
      <c r="A171" s="28"/>
      <c r="B171" s="28"/>
      <c r="C171" s="28"/>
      <c r="D171" s="29"/>
      <c r="E171" s="29"/>
      <c r="F171" s="28"/>
      <c r="G171" s="28"/>
      <c r="H171" s="28"/>
      <c r="I171" s="28"/>
      <c r="J171" s="28"/>
      <c r="K171" s="28"/>
      <c r="L171" s="28"/>
      <c r="M171" s="28"/>
      <c r="N171" s="28"/>
      <c r="O171" s="28"/>
      <c r="P171" s="28"/>
      <c r="Q171" s="28"/>
      <c r="R171" s="28"/>
      <c r="S171" s="28"/>
      <c r="T171" s="28"/>
      <c r="U171" s="7"/>
      <c r="V171" s="28"/>
      <c r="W171" s="28"/>
      <c r="X171" s="2"/>
      <c r="Y171" s="2"/>
      <c r="Z171" s="2"/>
    </row>
    <row r="172" spans="1:26" ht="19.5" customHeight="1">
      <c r="A172" s="28"/>
      <c r="B172" s="28"/>
      <c r="C172" s="28"/>
      <c r="D172" s="29"/>
      <c r="E172" s="29"/>
      <c r="F172" s="28"/>
      <c r="G172" s="28"/>
      <c r="H172" s="28"/>
      <c r="I172" s="28"/>
      <c r="J172" s="28"/>
      <c r="K172" s="28"/>
      <c r="L172" s="28"/>
      <c r="M172" s="28"/>
      <c r="N172" s="28"/>
      <c r="O172" s="28"/>
      <c r="P172" s="28"/>
      <c r="Q172" s="28"/>
      <c r="R172" s="28"/>
      <c r="S172" s="28"/>
      <c r="T172" s="28"/>
      <c r="U172" s="7"/>
      <c r="V172" s="28"/>
      <c r="W172" s="28"/>
      <c r="X172" s="2"/>
      <c r="Y172" s="2"/>
      <c r="Z172" s="2"/>
    </row>
    <row r="173" spans="1:26" ht="19.5" customHeight="1">
      <c r="A173" s="28"/>
      <c r="B173" s="28"/>
      <c r="C173" s="28"/>
      <c r="D173" s="29"/>
      <c r="E173" s="29"/>
      <c r="F173" s="28"/>
      <c r="G173" s="28"/>
      <c r="H173" s="28"/>
      <c r="I173" s="28"/>
      <c r="J173" s="28"/>
      <c r="K173" s="28"/>
      <c r="L173" s="28"/>
      <c r="M173" s="28"/>
      <c r="N173" s="28"/>
      <c r="O173" s="28"/>
      <c r="P173" s="28"/>
      <c r="Q173" s="28"/>
      <c r="R173" s="28"/>
      <c r="S173" s="28"/>
      <c r="T173" s="28"/>
      <c r="U173" s="7"/>
      <c r="V173" s="28"/>
      <c r="W173" s="28"/>
      <c r="X173" s="2"/>
      <c r="Y173" s="2"/>
      <c r="Z173" s="2"/>
    </row>
    <row r="174" spans="1:26" ht="19.5" customHeight="1">
      <c r="A174" s="28"/>
      <c r="B174" s="28"/>
      <c r="C174" s="28"/>
      <c r="D174" s="29"/>
      <c r="E174" s="29"/>
      <c r="F174" s="28"/>
      <c r="G174" s="28"/>
      <c r="H174" s="28"/>
      <c r="I174" s="28"/>
      <c r="J174" s="28"/>
      <c r="K174" s="28"/>
      <c r="L174" s="28"/>
      <c r="M174" s="28"/>
      <c r="N174" s="28"/>
      <c r="O174" s="28"/>
      <c r="P174" s="28"/>
      <c r="Q174" s="28"/>
      <c r="R174" s="28"/>
      <c r="S174" s="28"/>
      <c r="T174" s="28"/>
      <c r="U174" s="7"/>
      <c r="V174" s="28"/>
      <c r="W174" s="28"/>
      <c r="X174" s="2"/>
      <c r="Y174" s="2"/>
      <c r="Z174" s="2"/>
    </row>
    <row r="175" spans="1:26" ht="19.5" customHeight="1">
      <c r="A175" s="28"/>
      <c r="B175" s="28"/>
      <c r="C175" s="28"/>
      <c r="D175" s="29"/>
      <c r="E175" s="29"/>
      <c r="F175" s="28"/>
      <c r="G175" s="28"/>
      <c r="H175" s="28"/>
      <c r="I175" s="28"/>
      <c r="J175" s="28"/>
      <c r="K175" s="28"/>
      <c r="L175" s="28"/>
      <c r="M175" s="28"/>
      <c r="N175" s="28"/>
      <c r="O175" s="28"/>
      <c r="P175" s="28"/>
      <c r="Q175" s="28"/>
      <c r="R175" s="28"/>
      <c r="S175" s="28"/>
      <c r="T175" s="28"/>
      <c r="U175" s="7"/>
      <c r="V175" s="28"/>
      <c r="W175" s="28"/>
      <c r="X175" s="2"/>
      <c r="Y175" s="2"/>
      <c r="Z175" s="2"/>
    </row>
    <row r="176" spans="1:26" ht="19.5" customHeight="1">
      <c r="A176" s="28"/>
      <c r="B176" s="28"/>
      <c r="C176" s="28"/>
      <c r="D176" s="29"/>
      <c r="E176" s="29"/>
      <c r="F176" s="28"/>
      <c r="G176" s="28"/>
      <c r="H176" s="28"/>
      <c r="I176" s="28"/>
      <c r="J176" s="28"/>
      <c r="K176" s="28"/>
      <c r="L176" s="28"/>
      <c r="M176" s="28"/>
      <c r="N176" s="28"/>
      <c r="O176" s="28"/>
      <c r="P176" s="28"/>
      <c r="Q176" s="28"/>
      <c r="R176" s="28"/>
      <c r="S176" s="28"/>
      <c r="T176" s="28"/>
      <c r="U176" s="7"/>
      <c r="V176" s="28"/>
      <c r="W176" s="28"/>
      <c r="X176" s="2"/>
      <c r="Y176" s="2"/>
      <c r="Z176" s="2"/>
    </row>
    <row r="177" spans="1:26" ht="19.5" customHeight="1">
      <c r="A177" s="28"/>
      <c r="B177" s="28"/>
      <c r="C177" s="28"/>
      <c r="D177" s="29"/>
      <c r="E177" s="29"/>
      <c r="F177" s="28"/>
      <c r="G177" s="28"/>
      <c r="H177" s="28"/>
      <c r="I177" s="28"/>
      <c r="J177" s="28"/>
      <c r="K177" s="28"/>
      <c r="L177" s="28"/>
      <c r="M177" s="28"/>
      <c r="N177" s="28"/>
      <c r="O177" s="28"/>
      <c r="P177" s="28"/>
      <c r="Q177" s="28"/>
      <c r="R177" s="28"/>
      <c r="S177" s="28"/>
      <c r="T177" s="28"/>
      <c r="U177" s="7"/>
      <c r="V177" s="28"/>
      <c r="W177" s="28"/>
      <c r="X177" s="2"/>
      <c r="Y177" s="2"/>
      <c r="Z177" s="2"/>
    </row>
    <row r="178" spans="1:26" ht="19.5" customHeight="1">
      <c r="A178" s="28"/>
      <c r="B178" s="28"/>
      <c r="C178" s="28"/>
      <c r="D178" s="29"/>
      <c r="E178" s="29"/>
      <c r="F178" s="28"/>
      <c r="G178" s="28"/>
      <c r="H178" s="28"/>
      <c r="I178" s="28"/>
      <c r="J178" s="28"/>
      <c r="K178" s="28"/>
      <c r="L178" s="28"/>
      <c r="M178" s="28"/>
      <c r="N178" s="28"/>
      <c r="O178" s="28"/>
      <c r="P178" s="28"/>
      <c r="Q178" s="28"/>
      <c r="R178" s="28"/>
      <c r="S178" s="28"/>
      <c r="T178" s="28"/>
      <c r="U178" s="7"/>
      <c r="V178" s="28"/>
      <c r="W178" s="28"/>
      <c r="X178" s="2"/>
      <c r="Y178" s="2"/>
      <c r="Z178" s="2"/>
    </row>
    <row r="179" spans="1:26" ht="19.5" customHeight="1">
      <c r="A179" s="28"/>
      <c r="B179" s="28"/>
      <c r="C179" s="28"/>
      <c r="D179" s="29"/>
      <c r="E179" s="29"/>
      <c r="F179" s="28"/>
      <c r="G179" s="28"/>
      <c r="H179" s="28"/>
      <c r="I179" s="28"/>
      <c r="J179" s="28"/>
      <c r="K179" s="28"/>
      <c r="L179" s="28"/>
      <c r="M179" s="28"/>
      <c r="N179" s="28"/>
      <c r="O179" s="28"/>
      <c r="P179" s="28"/>
      <c r="Q179" s="28"/>
      <c r="R179" s="28"/>
      <c r="S179" s="28"/>
      <c r="T179" s="28"/>
      <c r="U179" s="7"/>
      <c r="V179" s="28"/>
      <c r="W179" s="28"/>
      <c r="X179" s="2"/>
      <c r="Y179" s="2"/>
      <c r="Z179" s="2"/>
    </row>
    <row r="180" spans="1:26" ht="19.5" customHeight="1">
      <c r="A180" s="28"/>
      <c r="B180" s="28"/>
      <c r="C180" s="28"/>
      <c r="D180" s="29"/>
      <c r="E180" s="29"/>
      <c r="F180" s="28"/>
      <c r="G180" s="28"/>
      <c r="H180" s="28"/>
      <c r="I180" s="28"/>
      <c r="J180" s="28"/>
      <c r="K180" s="28"/>
      <c r="L180" s="28"/>
      <c r="M180" s="28"/>
      <c r="N180" s="28"/>
      <c r="O180" s="28"/>
      <c r="P180" s="28"/>
      <c r="Q180" s="28"/>
      <c r="R180" s="28"/>
      <c r="S180" s="28"/>
      <c r="T180" s="28"/>
      <c r="U180" s="7"/>
      <c r="V180" s="28"/>
      <c r="W180" s="28"/>
      <c r="X180" s="2"/>
      <c r="Y180" s="2"/>
      <c r="Z180" s="2"/>
    </row>
    <row r="181" spans="1:26" ht="19.5" customHeight="1">
      <c r="A181" s="28"/>
      <c r="B181" s="28"/>
      <c r="C181" s="28"/>
      <c r="D181" s="29"/>
      <c r="E181" s="29"/>
      <c r="F181" s="28"/>
      <c r="G181" s="28"/>
      <c r="H181" s="28"/>
      <c r="I181" s="28"/>
      <c r="J181" s="28"/>
      <c r="K181" s="28"/>
      <c r="L181" s="28"/>
      <c r="M181" s="28"/>
      <c r="N181" s="28"/>
      <c r="O181" s="28"/>
      <c r="P181" s="28"/>
      <c r="Q181" s="28"/>
      <c r="R181" s="28"/>
      <c r="S181" s="28"/>
      <c r="T181" s="28"/>
      <c r="U181" s="7"/>
      <c r="V181" s="28"/>
      <c r="W181" s="28"/>
      <c r="X181" s="2"/>
      <c r="Y181" s="2"/>
      <c r="Z181" s="2"/>
    </row>
    <row r="182" spans="1:26" ht="19.5" customHeight="1">
      <c r="A182" s="28"/>
      <c r="B182" s="28"/>
      <c r="C182" s="28"/>
      <c r="D182" s="29"/>
      <c r="E182" s="29"/>
      <c r="F182" s="28"/>
      <c r="G182" s="28"/>
      <c r="H182" s="28"/>
      <c r="I182" s="28"/>
      <c r="J182" s="28"/>
      <c r="K182" s="28"/>
      <c r="L182" s="28"/>
      <c r="M182" s="28"/>
      <c r="N182" s="28"/>
      <c r="O182" s="28"/>
      <c r="P182" s="28"/>
      <c r="Q182" s="28"/>
      <c r="R182" s="28"/>
      <c r="S182" s="28"/>
      <c r="T182" s="28"/>
      <c r="U182" s="7"/>
      <c r="V182" s="28"/>
      <c r="W182" s="28"/>
      <c r="X182" s="2"/>
      <c r="Y182" s="2"/>
      <c r="Z182" s="2"/>
    </row>
    <row r="183" spans="1:26" ht="19.5" customHeight="1">
      <c r="A183" s="28"/>
      <c r="B183" s="28"/>
      <c r="C183" s="28"/>
      <c r="D183" s="29"/>
      <c r="E183" s="29"/>
      <c r="F183" s="28"/>
      <c r="G183" s="28"/>
      <c r="H183" s="28"/>
      <c r="I183" s="28"/>
      <c r="J183" s="28"/>
      <c r="K183" s="28"/>
      <c r="L183" s="28"/>
      <c r="M183" s="28"/>
      <c r="N183" s="28"/>
      <c r="O183" s="28"/>
      <c r="P183" s="28"/>
      <c r="Q183" s="28"/>
      <c r="R183" s="28"/>
      <c r="S183" s="28"/>
      <c r="T183" s="28"/>
      <c r="U183" s="7"/>
      <c r="V183" s="28"/>
      <c r="W183" s="28"/>
      <c r="X183" s="2"/>
      <c r="Y183" s="2"/>
      <c r="Z183" s="2"/>
    </row>
    <row r="184" spans="1:26" ht="19.5" customHeight="1">
      <c r="A184" s="28"/>
      <c r="B184" s="28"/>
      <c r="C184" s="28"/>
      <c r="D184" s="29"/>
      <c r="E184" s="29"/>
      <c r="F184" s="28"/>
      <c r="G184" s="28"/>
      <c r="H184" s="28"/>
      <c r="I184" s="28"/>
      <c r="J184" s="28"/>
      <c r="K184" s="28"/>
      <c r="L184" s="28"/>
      <c r="M184" s="28"/>
      <c r="N184" s="28"/>
      <c r="O184" s="28"/>
      <c r="P184" s="28"/>
      <c r="Q184" s="28"/>
      <c r="R184" s="28"/>
      <c r="S184" s="28"/>
      <c r="T184" s="28"/>
      <c r="U184" s="7"/>
      <c r="V184" s="28"/>
      <c r="W184" s="28"/>
      <c r="X184" s="2"/>
      <c r="Y184" s="2"/>
      <c r="Z184" s="2"/>
    </row>
    <row r="185" spans="1:26" ht="19.5" customHeight="1">
      <c r="A185" s="28"/>
      <c r="B185" s="28"/>
      <c r="C185" s="28"/>
      <c r="D185" s="29"/>
      <c r="E185" s="29"/>
      <c r="F185" s="28"/>
      <c r="G185" s="28"/>
      <c r="H185" s="28"/>
      <c r="I185" s="28"/>
      <c r="J185" s="28"/>
      <c r="K185" s="28"/>
      <c r="L185" s="28"/>
      <c r="M185" s="28"/>
      <c r="N185" s="28"/>
      <c r="O185" s="28"/>
      <c r="P185" s="28"/>
      <c r="Q185" s="28"/>
      <c r="R185" s="28"/>
      <c r="S185" s="28"/>
      <c r="T185" s="28"/>
      <c r="U185" s="7"/>
      <c r="V185" s="28"/>
      <c r="W185" s="28"/>
      <c r="X185" s="2"/>
      <c r="Y185" s="2"/>
      <c r="Z185" s="2"/>
    </row>
    <row r="186" spans="1:26" ht="19.5" customHeight="1">
      <c r="A186" s="28"/>
      <c r="B186" s="28"/>
      <c r="C186" s="28"/>
      <c r="D186" s="29"/>
      <c r="E186" s="29"/>
      <c r="F186" s="28"/>
      <c r="G186" s="28"/>
      <c r="H186" s="28"/>
      <c r="I186" s="28"/>
      <c r="J186" s="28"/>
      <c r="K186" s="28"/>
      <c r="L186" s="28"/>
      <c r="M186" s="28"/>
      <c r="N186" s="28"/>
      <c r="O186" s="28"/>
      <c r="P186" s="28"/>
      <c r="Q186" s="28"/>
      <c r="R186" s="28"/>
      <c r="S186" s="28"/>
      <c r="T186" s="28"/>
      <c r="U186" s="7"/>
      <c r="V186" s="28"/>
      <c r="W186" s="28"/>
      <c r="X186" s="2"/>
      <c r="Y186" s="2"/>
      <c r="Z186" s="2"/>
    </row>
    <row r="187" spans="1:26" ht="19.5" customHeight="1">
      <c r="A187" s="28"/>
      <c r="B187" s="28"/>
      <c r="C187" s="28"/>
      <c r="D187" s="29"/>
      <c r="E187" s="29"/>
      <c r="F187" s="28"/>
      <c r="G187" s="28"/>
      <c r="H187" s="28"/>
      <c r="I187" s="28"/>
      <c r="J187" s="28"/>
      <c r="K187" s="28"/>
      <c r="L187" s="28"/>
      <c r="M187" s="28"/>
      <c r="N187" s="28"/>
      <c r="O187" s="28"/>
      <c r="P187" s="28"/>
      <c r="Q187" s="28"/>
      <c r="R187" s="28"/>
      <c r="S187" s="28"/>
      <c r="T187" s="28"/>
      <c r="U187" s="7"/>
      <c r="V187" s="28"/>
      <c r="W187" s="28"/>
      <c r="X187" s="2"/>
      <c r="Y187" s="2"/>
      <c r="Z187" s="2"/>
    </row>
    <row r="188" spans="1:26" ht="19.5" customHeight="1">
      <c r="A188" s="28"/>
      <c r="B188" s="28"/>
      <c r="C188" s="28"/>
      <c r="D188" s="29"/>
      <c r="E188" s="29"/>
      <c r="F188" s="28"/>
      <c r="G188" s="28"/>
      <c r="H188" s="28"/>
      <c r="I188" s="28"/>
      <c r="J188" s="28"/>
      <c r="K188" s="28"/>
      <c r="L188" s="28"/>
      <c r="M188" s="28"/>
      <c r="N188" s="28"/>
      <c r="O188" s="28"/>
      <c r="P188" s="28"/>
      <c r="Q188" s="28"/>
      <c r="R188" s="28"/>
      <c r="S188" s="28"/>
      <c r="T188" s="28"/>
      <c r="U188" s="7"/>
      <c r="V188" s="28"/>
      <c r="W188" s="28"/>
      <c r="X188" s="2"/>
      <c r="Y188" s="2"/>
      <c r="Z188" s="2"/>
    </row>
    <row r="189" spans="1:26" ht="19.5" customHeight="1">
      <c r="A189" s="28"/>
      <c r="B189" s="28"/>
      <c r="C189" s="28"/>
      <c r="D189" s="29"/>
      <c r="E189" s="29"/>
      <c r="F189" s="28"/>
      <c r="G189" s="28"/>
      <c r="H189" s="28"/>
      <c r="I189" s="28"/>
      <c r="J189" s="28"/>
      <c r="K189" s="28"/>
      <c r="L189" s="28"/>
      <c r="M189" s="28"/>
      <c r="N189" s="28"/>
      <c r="O189" s="28"/>
      <c r="P189" s="28"/>
      <c r="Q189" s="28"/>
      <c r="R189" s="28"/>
      <c r="S189" s="28"/>
      <c r="T189" s="28"/>
      <c r="U189" s="7"/>
      <c r="V189" s="28"/>
      <c r="W189" s="28"/>
      <c r="X189" s="2"/>
      <c r="Y189" s="2"/>
      <c r="Z189" s="2"/>
    </row>
    <row r="190" spans="1:26" ht="19.5" customHeight="1">
      <c r="A190" s="28"/>
      <c r="B190" s="28"/>
      <c r="C190" s="28"/>
      <c r="D190" s="29"/>
      <c r="E190" s="29"/>
      <c r="F190" s="28"/>
      <c r="G190" s="28"/>
      <c r="H190" s="28"/>
      <c r="I190" s="28"/>
      <c r="J190" s="28"/>
      <c r="K190" s="28"/>
      <c r="L190" s="28"/>
      <c r="M190" s="28"/>
      <c r="N190" s="28"/>
      <c r="O190" s="28"/>
      <c r="P190" s="28"/>
      <c r="Q190" s="28"/>
      <c r="R190" s="28"/>
      <c r="S190" s="28"/>
      <c r="T190" s="28"/>
      <c r="U190" s="7"/>
      <c r="V190" s="28"/>
      <c r="W190" s="28"/>
      <c r="X190" s="2"/>
      <c r="Y190" s="2"/>
      <c r="Z190" s="2"/>
    </row>
    <row r="191" spans="1:26" ht="19.5" customHeight="1">
      <c r="A191" s="28"/>
      <c r="B191" s="28"/>
      <c r="C191" s="28"/>
      <c r="D191" s="29"/>
      <c r="E191" s="29"/>
      <c r="F191" s="28"/>
      <c r="G191" s="28"/>
      <c r="H191" s="28"/>
      <c r="I191" s="28"/>
      <c r="J191" s="28"/>
      <c r="K191" s="28"/>
      <c r="L191" s="28"/>
      <c r="M191" s="28"/>
      <c r="N191" s="28"/>
      <c r="O191" s="28"/>
      <c r="P191" s="28"/>
      <c r="Q191" s="28"/>
      <c r="R191" s="28"/>
      <c r="S191" s="28"/>
      <c r="T191" s="28"/>
      <c r="U191" s="7"/>
      <c r="V191" s="28"/>
      <c r="W191" s="28"/>
      <c r="X191" s="2"/>
      <c r="Y191" s="2"/>
      <c r="Z191" s="2"/>
    </row>
    <row r="192" spans="1:26" ht="19.5" customHeight="1">
      <c r="A192" s="28"/>
      <c r="B192" s="28"/>
      <c r="C192" s="28"/>
      <c r="D192" s="29"/>
      <c r="E192" s="29"/>
      <c r="F192" s="28"/>
      <c r="G192" s="28"/>
      <c r="H192" s="28"/>
      <c r="I192" s="28"/>
      <c r="J192" s="28"/>
      <c r="K192" s="28"/>
      <c r="L192" s="28"/>
      <c r="M192" s="28"/>
      <c r="N192" s="28"/>
      <c r="O192" s="28"/>
      <c r="P192" s="28"/>
      <c r="Q192" s="28"/>
      <c r="R192" s="28"/>
      <c r="S192" s="28"/>
      <c r="T192" s="28"/>
      <c r="U192" s="7"/>
      <c r="V192" s="28"/>
      <c r="W192" s="28"/>
      <c r="X192" s="2"/>
      <c r="Y192" s="2"/>
      <c r="Z192" s="2"/>
    </row>
    <row r="193" spans="1:26" ht="19.5" customHeight="1">
      <c r="A193" s="28"/>
      <c r="B193" s="28"/>
      <c r="C193" s="28"/>
      <c r="D193" s="29"/>
      <c r="E193" s="29"/>
      <c r="F193" s="28"/>
      <c r="G193" s="28"/>
      <c r="H193" s="28"/>
      <c r="I193" s="28"/>
      <c r="J193" s="28"/>
      <c r="K193" s="28"/>
      <c r="L193" s="28"/>
      <c r="M193" s="28"/>
      <c r="N193" s="28"/>
      <c r="O193" s="28"/>
      <c r="P193" s="28"/>
      <c r="Q193" s="28"/>
      <c r="R193" s="28"/>
      <c r="S193" s="28"/>
      <c r="T193" s="28"/>
      <c r="U193" s="7"/>
      <c r="V193" s="28"/>
      <c r="W193" s="28"/>
      <c r="X193" s="2"/>
      <c r="Y193" s="2"/>
      <c r="Z193" s="2"/>
    </row>
    <row r="194" spans="1:26" ht="19.5" customHeight="1">
      <c r="A194" s="28"/>
      <c r="B194" s="28"/>
      <c r="C194" s="28"/>
      <c r="D194" s="29"/>
      <c r="E194" s="29"/>
      <c r="F194" s="28"/>
      <c r="G194" s="28"/>
      <c r="H194" s="28"/>
      <c r="I194" s="28"/>
      <c r="J194" s="28"/>
      <c r="K194" s="28"/>
      <c r="L194" s="28"/>
      <c r="M194" s="28"/>
      <c r="N194" s="28"/>
      <c r="O194" s="28"/>
      <c r="P194" s="28"/>
      <c r="Q194" s="28"/>
      <c r="R194" s="28"/>
      <c r="S194" s="28"/>
      <c r="T194" s="28"/>
      <c r="U194" s="7"/>
      <c r="V194" s="28"/>
      <c r="W194" s="28"/>
      <c r="X194" s="2"/>
      <c r="Y194" s="2"/>
      <c r="Z194" s="2"/>
    </row>
    <row r="195" spans="1:26" ht="19.5" customHeight="1">
      <c r="A195" s="28"/>
      <c r="B195" s="28"/>
      <c r="C195" s="28"/>
      <c r="D195" s="29"/>
      <c r="E195" s="29"/>
      <c r="F195" s="28"/>
      <c r="G195" s="28"/>
      <c r="H195" s="28"/>
      <c r="I195" s="28"/>
      <c r="J195" s="28"/>
      <c r="K195" s="28"/>
      <c r="L195" s="28"/>
      <c r="M195" s="28"/>
      <c r="N195" s="28"/>
      <c r="O195" s="28"/>
      <c r="P195" s="28"/>
      <c r="Q195" s="28"/>
      <c r="R195" s="28"/>
      <c r="S195" s="28"/>
      <c r="T195" s="28"/>
      <c r="U195" s="7"/>
      <c r="V195" s="28"/>
      <c r="W195" s="28"/>
      <c r="X195" s="2"/>
      <c r="Y195" s="2"/>
      <c r="Z195" s="2"/>
    </row>
    <row r="196" spans="1:26" ht="19.5" customHeight="1">
      <c r="A196" s="28"/>
      <c r="B196" s="28"/>
      <c r="C196" s="28"/>
      <c r="D196" s="29"/>
      <c r="E196" s="29"/>
      <c r="F196" s="28"/>
      <c r="G196" s="28"/>
      <c r="H196" s="28"/>
      <c r="I196" s="28"/>
      <c r="J196" s="28"/>
      <c r="K196" s="28"/>
      <c r="L196" s="28"/>
      <c r="M196" s="28"/>
      <c r="N196" s="28"/>
      <c r="O196" s="28"/>
      <c r="P196" s="28"/>
      <c r="Q196" s="28"/>
      <c r="R196" s="28"/>
      <c r="S196" s="28"/>
      <c r="T196" s="28"/>
      <c r="U196" s="7"/>
      <c r="V196" s="28"/>
      <c r="W196" s="28"/>
      <c r="X196" s="2"/>
      <c r="Y196" s="2"/>
      <c r="Z196" s="2"/>
    </row>
    <row r="197" spans="1:26" ht="19.5" customHeight="1">
      <c r="A197" s="28"/>
      <c r="B197" s="28"/>
      <c r="C197" s="28"/>
      <c r="D197" s="29"/>
      <c r="E197" s="29"/>
      <c r="F197" s="28"/>
      <c r="G197" s="28"/>
      <c r="H197" s="28"/>
      <c r="I197" s="28"/>
      <c r="J197" s="28"/>
      <c r="K197" s="28"/>
      <c r="L197" s="28"/>
      <c r="M197" s="28"/>
      <c r="N197" s="28"/>
      <c r="O197" s="28"/>
      <c r="P197" s="28"/>
      <c r="Q197" s="28"/>
      <c r="R197" s="28"/>
      <c r="S197" s="28"/>
      <c r="T197" s="28"/>
      <c r="U197" s="7"/>
      <c r="V197" s="28"/>
      <c r="W197" s="28"/>
      <c r="X197" s="2"/>
      <c r="Y197" s="2"/>
      <c r="Z197" s="2"/>
    </row>
    <row r="198" spans="1:26" ht="19.5" customHeight="1">
      <c r="A198" s="28"/>
      <c r="B198" s="28"/>
      <c r="C198" s="28"/>
      <c r="D198" s="29"/>
      <c r="E198" s="29"/>
      <c r="F198" s="28"/>
      <c r="G198" s="28"/>
      <c r="H198" s="28"/>
      <c r="I198" s="28"/>
      <c r="J198" s="28"/>
      <c r="K198" s="28"/>
      <c r="L198" s="28"/>
      <c r="M198" s="28"/>
      <c r="N198" s="28"/>
      <c r="O198" s="28"/>
      <c r="P198" s="28"/>
      <c r="Q198" s="28"/>
      <c r="R198" s="28"/>
      <c r="S198" s="28"/>
      <c r="T198" s="28"/>
      <c r="U198" s="7"/>
      <c r="V198" s="28"/>
      <c r="W198" s="28"/>
      <c r="X198" s="2"/>
      <c r="Y198" s="2"/>
      <c r="Z198" s="2"/>
    </row>
    <row r="199" spans="1:26" ht="19.5" customHeight="1">
      <c r="A199" s="28"/>
      <c r="B199" s="28"/>
      <c r="C199" s="28"/>
      <c r="D199" s="29"/>
      <c r="E199" s="29"/>
      <c r="F199" s="28"/>
      <c r="G199" s="28"/>
      <c r="H199" s="28"/>
      <c r="I199" s="28"/>
      <c r="J199" s="28"/>
      <c r="K199" s="28"/>
      <c r="L199" s="28"/>
      <c r="M199" s="28"/>
      <c r="N199" s="28"/>
      <c r="O199" s="28"/>
      <c r="P199" s="28"/>
      <c r="Q199" s="28"/>
      <c r="R199" s="28"/>
      <c r="S199" s="28"/>
      <c r="T199" s="28"/>
      <c r="U199" s="7"/>
      <c r="V199" s="28"/>
      <c r="W199" s="28"/>
      <c r="X199" s="2"/>
      <c r="Y199" s="2"/>
      <c r="Z199" s="2"/>
    </row>
    <row r="200" spans="1:26" ht="19.5" customHeight="1">
      <c r="A200" s="28"/>
      <c r="B200" s="28"/>
      <c r="C200" s="28"/>
      <c r="D200" s="29"/>
      <c r="E200" s="29"/>
      <c r="F200" s="28"/>
      <c r="G200" s="28"/>
      <c r="H200" s="28"/>
      <c r="I200" s="28"/>
      <c r="J200" s="28"/>
      <c r="K200" s="28"/>
      <c r="L200" s="28"/>
      <c r="M200" s="28"/>
      <c r="N200" s="28"/>
      <c r="O200" s="28"/>
      <c r="P200" s="28"/>
      <c r="Q200" s="28"/>
      <c r="R200" s="28"/>
      <c r="S200" s="28"/>
      <c r="T200" s="28"/>
      <c r="U200" s="7"/>
      <c r="V200" s="28"/>
      <c r="W200" s="28"/>
      <c r="X200" s="2"/>
      <c r="Y200" s="2"/>
      <c r="Z200" s="2"/>
    </row>
    <row r="201" spans="1:26" ht="19.5" customHeight="1">
      <c r="A201" s="28"/>
      <c r="B201" s="28"/>
      <c r="C201" s="28"/>
      <c r="D201" s="29"/>
      <c r="E201" s="29"/>
      <c r="F201" s="28"/>
      <c r="G201" s="28"/>
      <c r="H201" s="28"/>
      <c r="I201" s="28"/>
      <c r="J201" s="28"/>
      <c r="K201" s="28"/>
      <c r="L201" s="28"/>
      <c r="M201" s="28"/>
      <c r="N201" s="28"/>
      <c r="O201" s="28"/>
      <c r="P201" s="28"/>
      <c r="Q201" s="28"/>
      <c r="R201" s="28"/>
      <c r="S201" s="28"/>
      <c r="T201" s="28"/>
      <c r="U201" s="7"/>
      <c r="V201" s="28"/>
      <c r="W201" s="28"/>
      <c r="X201" s="2"/>
      <c r="Y201" s="2"/>
      <c r="Z201" s="2"/>
    </row>
    <row r="202" spans="1:26" ht="19.5" customHeight="1">
      <c r="A202" s="28"/>
      <c r="B202" s="28"/>
      <c r="C202" s="28"/>
      <c r="D202" s="29"/>
      <c r="E202" s="29"/>
      <c r="F202" s="28"/>
      <c r="G202" s="28"/>
      <c r="H202" s="28"/>
      <c r="I202" s="28"/>
      <c r="J202" s="28"/>
      <c r="K202" s="28"/>
      <c r="L202" s="28"/>
      <c r="M202" s="28"/>
      <c r="N202" s="28"/>
      <c r="O202" s="28"/>
      <c r="P202" s="28"/>
      <c r="Q202" s="28"/>
      <c r="R202" s="28"/>
      <c r="S202" s="28"/>
      <c r="T202" s="28"/>
      <c r="U202" s="7"/>
      <c r="V202" s="28"/>
      <c r="W202" s="28"/>
      <c r="X202" s="2"/>
      <c r="Y202" s="2"/>
      <c r="Z202" s="2"/>
    </row>
    <row r="203" spans="1:26" ht="19.5" customHeight="1">
      <c r="A203" s="28"/>
      <c r="B203" s="28"/>
      <c r="C203" s="28"/>
      <c r="D203" s="29"/>
      <c r="E203" s="29"/>
      <c r="F203" s="28"/>
      <c r="G203" s="28"/>
      <c r="H203" s="28"/>
      <c r="I203" s="28"/>
      <c r="J203" s="28"/>
      <c r="K203" s="28"/>
      <c r="L203" s="28"/>
      <c r="M203" s="28"/>
      <c r="N203" s="28"/>
      <c r="O203" s="28"/>
      <c r="P203" s="28"/>
      <c r="Q203" s="28"/>
      <c r="R203" s="28"/>
      <c r="S203" s="28"/>
      <c r="T203" s="28"/>
      <c r="U203" s="7"/>
      <c r="V203" s="28"/>
      <c r="W203" s="28"/>
      <c r="X203" s="2"/>
      <c r="Y203" s="2"/>
      <c r="Z203" s="2"/>
    </row>
    <row r="204" spans="1:26" ht="19.5" customHeight="1">
      <c r="A204" s="28"/>
      <c r="B204" s="28"/>
      <c r="C204" s="28"/>
      <c r="D204" s="29"/>
      <c r="E204" s="29"/>
      <c r="F204" s="28"/>
      <c r="G204" s="28"/>
      <c r="H204" s="28"/>
      <c r="I204" s="28"/>
      <c r="J204" s="28"/>
      <c r="K204" s="28"/>
      <c r="L204" s="28"/>
      <c r="M204" s="28"/>
      <c r="N204" s="28"/>
      <c r="O204" s="28"/>
      <c r="P204" s="28"/>
      <c r="Q204" s="28"/>
      <c r="R204" s="28"/>
      <c r="S204" s="28"/>
      <c r="T204" s="28"/>
      <c r="U204" s="7"/>
      <c r="V204" s="28"/>
      <c r="W204" s="28"/>
      <c r="X204" s="2"/>
      <c r="Y204" s="2"/>
      <c r="Z204" s="2"/>
    </row>
    <row r="205" spans="1:26" ht="19.5" customHeight="1">
      <c r="A205" s="28"/>
      <c r="B205" s="28"/>
      <c r="C205" s="28"/>
      <c r="D205" s="29"/>
      <c r="E205" s="29"/>
      <c r="F205" s="28"/>
      <c r="G205" s="28"/>
      <c r="H205" s="28"/>
      <c r="I205" s="28"/>
      <c r="J205" s="28"/>
      <c r="K205" s="28"/>
      <c r="L205" s="28"/>
      <c r="M205" s="28"/>
      <c r="N205" s="28"/>
      <c r="O205" s="28"/>
      <c r="P205" s="28"/>
      <c r="Q205" s="28"/>
      <c r="R205" s="28"/>
      <c r="S205" s="28"/>
      <c r="T205" s="28"/>
      <c r="U205" s="7"/>
      <c r="V205" s="28"/>
      <c r="W205" s="28"/>
      <c r="X205" s="2"/>
      <c r="Y205" s="2"/>
      <c r="Z205" s="2"/>
    </row>
    <row r="206" spans="1:26" ht="19.5" customHeight="1">
      <c r="A206" s="28"/>
      <c r="B206" s="28"/>
      <c r="C206" s="28"/>
      <c r="D206" s="29"/>
      <c r="E206" s="29"/>
      <c r="F206" s="28"/>
      <c r="G206" s="28"/>
      <c r="H206" s="28"/>
      <c r="I206" s="28"/>
      <c r="J206" s="28"/>
      <c r="K206" s="28"/>
      <c r="L206" s="28"/>
      <c r="M206" s="28"/>
      <c r="N206" s="28"/>
      <c r="O206" s="28"/>
      <c r="P206" s="28"/>
      <c r="Q206" s="28"/>
      <c r="R206" s="28"/>
      <c r="S206" s="28"/>
      <c r="T206" s="28"/>
      <c r="U206" s="7"/>
      <c r="V206" s="28"/>
      <c r="W206" s="28"/>
      <c r="X206" s="2"/>
      <c r="Y206" s="2"/>
      <c r="Z206" s="2"/>
    </row>
    <row r="207" spans="1:26" ht="19.5" customHeight="1">
      <c r="A207" s="28"/>
      <c r="B207" s="28"/>
      <c r="C207" s="28"/>
      <c r="D207" s="29"/>
      <c r="E207" s="29"/>
      <c r="F207" s="28"/>
      <c r="G207" s="28"/>
      <c r="H207" s="28"/>
      <c r="I207" s="28"/>
      <c r="J207" s="28"/>
      <c r="K207" s="28"/>
      <c r="L207" s="28"/>
      <c r="M207" s="28"/>
      <c r="N207" s="28"/>
      <c r="O207" s="28"/>
      <c r="P207" s="28"/>
      <c r="Q207" s="28"/>
      <c r="R207" s="28"/>
      <c r="S207" s="28"/>
      <c r="T207" s="28"/>
      <c r="U207" s="7"/>
      <c r="V207" s="28"/>
      <c r="W207" s="28"/>
      <c r="X207" s="2"/>
      <c r="Y207" s="2"/>
      <c r="Z207" s="2"/>
    </row>
    <row r="208" spans="1:26" ht="19.5" customHeight="1">
      <c r="A208" s="28"/>
      <c r="B208" s="28"/>
      <c r="C208" s="28"/>
      <c r="D208" s="29"/>
      <c r="E208" s="29"/>
      <c r="F208" s="28"/>
      <c r="G208" s="28"/>
      <c r="H208" s="28"/>
      <c r="I208" s="28"/>
      <c r="J208" s="28"/>
      <c r="K208" s="28"/>
      <c r="L208" s="28"/>
      <c r="M208" s="28"/>
      <c r="N208" s="28"/>
      <c r="O208" s="28"/>
      <c r="P208" s="28"/>
      <c r="Q208" s="28"/>
      <c r="R208" s="28"/>
      <c r="S208" s="28"/>
      <c r="T208" s="28"/>
      <c r="U208" s="7"/>
      <c r="V208" s="28"/>
      <c r="W208" s="28"/>
      <c r="X208" s="2"/>
      <c r="Y208" s="2"/>
      <c r="Z208" s="2"/>
    </row>
    <row r="209" spans="1:26" ht="19.5" customHeight="1">
      <c r="A209" s="28"/>
      <c r="B209" s="28"/>
      <c r="C209" s="28"/>
      <c r="D209" s="29"/>
      <c r="E209" s="29"/>
      <c r="F209" s="28"/>
      <c r="G209" s="28"/>
      <c r="H209" s="28"/>
      <c r="I209" s="28"/>
      <c r="J209" s="28"/>
      <c r="K209" s="28"/>
      <c r="L209" s="28"/>
      <c r="M209" s="28"/>
      <c r="N209" s="28"/>
      <c r="O209" s="28"/>
      <c r="P209" s="28"/>
      <c r="Q209" s="28"/>
      <c r="R209" s="28"/>
      <c r="S209" s="28"/>
      <c r="T209" s="28"/>
      <c r="U209" s="7"/>
      <c r="V209" s="28"/>
      <c r="W209" s="28"/>
      <c r="X209" s="2"/>
      <c r="Y209" s="2"/>
      <c r="Z209" s="2"/>
    </row>
    <row r="210" spans="1:26" ht="19.5" customHeight="1">
      <c r="A210" s="28"/>
      <c r="B210" s="28"/>
      <c r="C210" s="28"/>
      <c r="D210" s="29"/>
      <c r="E210" s="29"/>
      <c r="F210" s="28"/>
      <c r="G210" s="28"/>
      <c r="H210" s="28"/>
      <c r="I210" s="28"/>
      <c r="J210" s="28"/>
      <c r="K210" s="28"/>
      <c r="L210" s="28"/>
      <c r="M210" s="28"/>
      <c r="N210" s="28"/>
      <c r="O210" s="28"/>
      <c r="P210" s="28"/>
      <c r="Q210" s="28"/>
      <c r="R210" s="28"/>
      <c r="S210" s="28"/>
      <c r="T210" s="28"/>
      <c r="U210" s="7"/>
      <c r="V210" s="28"/>
      <c r="W210" s="28"/>
      <c r="X210" s="2"/>
      <c r="Y210" s="2"/>
      <c r="Z210" s="2"/>
    </row>
    <row r="211" spans="1:26" ht="19.5" customHeight="1">
      <c r="A211" s="28"/>
      <c r="B211" s="28"/>
      <c r="C211" s="28"/>
      <c r="D211" s="29"/>
      <c r="E211" s="29"/>
      <c r="F211" s="28"/>
      <c r="G211" s="28"/>
      <c r="H211" s="28"/>
      <c r="I211" s="28"/>
      <c r="J211" s="28"/>
      <c r="K211" s="28"/>
      <c r="L211" s="28"/>
      <c r="M211" s="28"/>
      <c r="N211" s="28"/>
      <c r="O211" s="28"/>
      <c r="P211" s="28"/>
      <c r="Q211" s="28"/>
      <c r="R211" s="28"/>
      <c r="S211" s="28"/>
      <c r="T211" s="28"/>
      <c r="U211" s="7"/>
      <c r="V211" s="28"/>
      <c r="W211" s="28"/>
      <c r="X211" s="2"/>
      <c r="Y211" s="2"/>
      <c r="Z211" s="2"/>
    </row>
    <row r="212" spans="1:26" ht="19.5" customHeight="1">
      <c r="A212" s="28"/>
      <c r="B212" s="28"/>
      <c r="C212" s="28"/>
      <c r="D212" s="29"/>
      <c r="E212" s="29"/>
      <c r="F212" s="28"/>
      <c r="G212" s="28"/>
      <c r="H212" s="28"/>
      <c r="I212" s="28"/>
      <c r="J212" s="28"/>
      <c r="K212" s="28"/>
      <c r="L212" s="28"/>
      <c r="M212" s="28"/>
      <c r="N212" s="28"/>
      <c r="O212" s="28"/>
      <c r="P212" s="28"/>
      <c r="Q212" s="28"/>
      <c r="R212" s="28"/>
      <c r="S212" s="28"/>
      <c r="T212" s="28"/>
      <c r="U212" s="7"/>
      <c r="V212" s="28"/>
      <c r="W212" s="28"/>
      <c r="X212" s="2"/>
      <c r="Y212" s="2"/>
      <c r="Z212" s="2"/>
    </row>
    <row r="213" spans="1:26" ht="19.5" customHeight="1">
      <c r="A213" s="28"/>
      <c r="B213" s="28"/>
      <c r="C213" s="28"/>
      <c r="D213" s="29"/>
      <c r="E213" s="29"/>
      <c r="F213" s="28"/>
      <c r="G213" s="28"/>
      <c r="H213" s="28"/>
      <c r="I213" s="28"/>
      <c r="J213" s="28"/>
      <c r="K213" s="28"/>
      <c r="L213" s="28"/>
      <c r="M213" s="28"/>
      <c r="N213" s="28"/>
      <c r="O213" s="28"/>
      <c r="P213" s="28"/>
      <c r="Q213" s="28"/>
      <c r="R213" s="28"/>
      <c r="S213" s="28"/>
      <c r="T213" s="28"/>
      <c r="U213" s="7"/>
      <c r="V213" s="28"/>
      <c r="W213" s="28"/>
      <c r="X213" s="2"/>
      <c r="Y213" s="2"/>
      <c r="Z213" s="2"/>
    </row>
    <row r="214" spans="1:26" ht="19.5" customHeight="1">
      <c r="A214" s="28"/>
      <c r="B214" s="28"/>
      <c r="C214" s="28"/>
      <c r="D214" s="29"/>
      <c r="E214" s="29"/>
      <c r="F214" s="28"/>
      <c r="G214" s="28"/>
      <c r="H214" s="28"/>
      <c r="I214" s="28"/>
      <c r="J214" s="28"/>
      <c r="K214" s="28"/>
      <c r="L214" s="28"/>
      <c r="M214" s="28"/>
      <c r="N214" s="28"/>
      <c r="O214" s="28"/>
      <c r="P214" s="28"/>
      <c r="Q214" s="28"/>
      <c r="R214" s="28"/>
      <c r="S214" s="28"/>
      <c r="T214" s="28"/>
      <c r="U214" s="7"/>
      <c r="V214" s="28"/>
      <c r="W214" s="28"/>
      <c r="X214" s="2"/>
      <c r="Y214" s="2"/>
      <c r="Z214" s="2"/>
    </row>
    <row r="215" spans="1:26" ht="19.5" customHeight="1">
      <c r="A215" s="28"/>
      <c r="B215" s="28"/>
      <c r="C215" s="28"/>
      <c r="D215" s="29"/>
      <c r="E215" s="29"/>
      <c r="F215" s="28"/>
      <c r="G215" s="28"/>
      <c r="H215" s="28"/>
      <c r="I215" s="28"/>
      <c r="J215" s="28"/>
      <c r="K215" s="28"/>
      <c r="L215" s="28"/>
      <c r="M215" s="28"/>
      <c r="N215" s="28"/>
      <c r="O215" s="28"/>
      <c r="P215" s="28"/>
      <c r="Q215" s="28"/>
      <c r="R215" s="28"/>
      <c r="S215" s="28"/>
      <c r="T215" s="28"/>
      <c r="U215" s="7"/>
      <c r="V215" s="28"/>
      <c r="W215" s="28"/>
      <c r="X215" s="2"/>
      <c r="Y215" s="2"/>
      <c r="Z215" s="2"/>
    </row>
    <row r="216" spans="1:26" ht="19.5" customHeight="1">
      <c r="A216" s="28"/>
      <c r="B216" s="28"/>
      <c r="C216" s="28"/>
      <c r="D216" s="29"/>
      <c r="E216" s="29"/>
      <c r="F216" s="28"/>
      <c r="G216" s="28"/>
      <c r="H216" s="28"/>
      <c r="I216" s="28"/>
      <c r="J216" s="28"/>
      <c r="K216" s="28"/>
      <c r="L216" s="28"/>
      <c r="M216" s="28"/>
      <c r="N216" s="28"/>
      <c r="O216" s="28"/>
      <c r="P216" s="28"/>
      <c r="Q216" s="28"/>
      <c r="R216" s="28"/>
      <c r="S216" s="28"/>
      <c r="T216" s="28"/>
      <c r="U216" s="7"/>
      <c r="V216" s="28"/>
      <c r="W216" s="28"/>
      <c r="X216" s="2"/>
      <c r="Y216" s="2"/>
      <c r="Z216" s="2"/>
    </row>
    <row r="217" spans="1:26" ht="19.5" customHeight="1">
      <c r="A217" s="28"/>
      <c r="B217" s="28"/>
      <c r="C217" s="28"/>
      <c r="D217" s="29"/>
      <c r="E217" s="29"/>
      <c r="F217" s="28"/>
      <c r="G217" s="28"/>
      <c r="H217" s="28"/>
      <c r="I217" s="28"/>
      <c r="J217" s="28"/>
      <c r="K217" s="28"/>
      <c r="L217" s="28"/>
      <c r="M217" s="28"/>
      <c r="N217" s="28"/>
      <c r="O217" s="28"/>
      <c r="P217" s="28"/>
      <c r="Q217" s="28"/>
      <c r="R217" s="28"/>
      <c r="S217" s="28"/>
      <c r="T217" s="28"/>
      <c r="U217" s="7"/>
      <c r="V217" s="28"/>
      <c r="W217" s="28"/>
      <c r="X217" s="2"/>
      <c r="Y217" s="2"/>
      <c r="Z217" s="2"/>
    </row>
    <row r="218" spans="1:26" ht="19.5" customHeight="1">
      <c r="A218" s="28"/>
      <c r="B218" s="28"/>
      <c r="C218" s="28"/>
      <c r="D218" s="29"/>
      <c r="E218" s="29"/>
      <c r="F218" s="28"/>
      <c r="G218" s="28"/>
      <c r="H218" s="28"/>
      <c r="I218" s="28"/>
      <c r="J218" s="28"/>
      <c r="K218" s="28"/>
      <c r="L218" s="28"/>
      <c r="M218" s="28"/>
      <c r="N218" s="28"/>
      <c r="O218" s="28"/>
      <c r="P218" s="28"/>
      <c r="Q218" s="28"/>
      <c r="R218" s="28"/>
      <c r="S218" s="28"/>
      <c r="T218" s="28"/>
      <c r="U218" s="7"/>
      <c r="V218" s="28"/>
      <c r="W218" s="28"/>
      <c r="X218" s="2"/>
      <c r="Y218" s="2"/>
      <c r="Z218" s="2"/>
    </row>
    <row r="219" spans="1:26" ht="19.5" customHeight="1">
      <c r="A219" s="28"/>
      <c r="B219" s="28"/>
      <c r="C219" s="28"/>
      <c r="D219" s="29"/>
      <c r="E219" s="29"/>
      <c r="F219" s="28"/>
      <c r="G219" s="28"/>
      <c r="H219" s="28"/>
      <c r="I219" s="28"/>
      <c r="J219" s="28"/>
      <c r="K219" s="28"/>
      <c r="L219" s="28"/>
      <c r="M219" s="28"/>
      <c r="N219" s="28"/>
      <c r="O219" s="28"/>
      <c r="P219" s="28"/>
      <c r="Q219" s="28"/>
      <c r="R219" s="28"/>
      <c r="S219" s="28"/>
      <c r="T219" s="28"/>
      <c r="U219" s="7"/>
      <c r="V219" s="28"/>
      <c r="W219" s="28"/>
      <c r="X219" s="2"/>
      <c r="Y219" s="2"/>
      <c r="Z219" s="2"/>
    </row>
    <row r="220" spans="1:26" ht="19.5" customHeight="1">
      <c r="A220" s="28"/>
      <c r="B220" s="28"/>
      <c r="C220" s="28"/>
      <c r="D220" s="29"/>
      <c r="E220" s="29"/>
      <c r="F220" s="28"/>
      <c r="G220" s="28"/>
      <c r="H220" s="28"/>
      <c r="I220" s="28"/>
      <c r="J220" s="28"/>
      <c r="K220" s="28"/>
      <c r="L220" s="28"/>
      <c r="M220" s="28"/>
      <c r="N220" s="28"/>
      <c r="O220" s="28"/>
      <c r="P220" s="28"/>
      <c r="Q220" s="28"/>
      <c r="R220" s="28"/>
      <c r="S220" s="28"/>
      <c r="T220" s="28"/>
      <c r="U220" s="7"/>
      <c r="V220" s="28"/>
      <c r="W220" s="28"/>
      <c r="X220" s="2"/>
      <c r="Y220" s="2"/>
      <c r="Z220" s="2"/>
    </row>
    <row r="221" spans="1:26" ht="19.5" customHeight="1">
      <c r="A221" s="28"/>
      <c r="B221" s="28"/>
      <c r="C221" s="28"/>
      <c r="D221" s="29"/>
      <c r="E221" s="29"/>
      <c r="F221" s="28"/>
      <c r="G221" s="28"/>
      <c r="H221" s="28"/>
      <c r="I221" s="28"/>
      <c r="J221" s="28"/>
      <c r="K221" s="28"/>
      <c r="L221" s="28"/>
      <c r="M221" s="28"/>
      <c r="N221" s="28"/>
      <c r="O221" s="28"/>
      <c r="P221" s="28"/>
      <c r="Q221" s="28"/>
      <c r="R221" s="28"/>
      <c r="S221" s="28"/>
      <c r="T221" s="28"/>
      <c r="U221" s="7"/>
      <c r="V221" s="28"/>
      <c r="W221" s="28"/>
      <c r="X221" s="2"/>
      <c r="Y221" s="2"/>
      <c r="Z221" s="2"/>
    </row>
    <row r="222" spans="1:26" ht="19.5" customHeight="1">
      <c r="A222" s="28"/>
      <c r="B222" s="28"/>
      <c r="C222" s="28"/>
      <c r="D222" s="29"/>
      <c r="E222" s="29"/>
      <c r="F222" s="28"/>
      <c r="G222" s="28"/>
      <c r="H222" s="28"/>
      <c r="I222" s="28"/>
      <c r="J222" s="28"/>
      <c r="K222" s="28"/>
      <c r="L222" s="28"/>
      <c r="M222" s="28"/>
      <c r="N222" s="28"/>
      <c r="O222" s="28"/>
      <c r="P222" s="28"/>
      <c r="Q222" s="28"/>
      <c r="R222" s="28"/>
      <c r="S222" s="28"/>
      <c r="T222" s="28"/>
      <c r="U222" s="7"/>
      <c r="V222" s="28"/>
      <c r="W222" s="28"/>
      <c r="X222" s="2"/>
      <c r="Y222" s="2"/>
      <c r="Z222" s="2"/>
    </row>
    <row r="223" spans="1:26" ht="19.5" customHeight="1">
      <c r="A223" s="28"/>
      <c r="B223" s="28"/>
      <c r="C223" s="28"/>
      <c r="D223" s="29"/>
      <c r="E223" s="29"/>
      <c r="F223" s="28"/>
      <c r="G223" s="28"/>
      <c r="H223" s="28"/>
      <c r="I223" s="28"/>
      <c r="J223" s="28"/>
      <c r="K223" s="28"/>
      <c r="L223" s="28"/>
      <c r="M223" s="28"/>
      <c r="N223" s="28"/>
      <c r="O223" s="28"/>
      <c r="P223" s="28"/>
      <c r="Q223" s="28"/>
      <c r="R223" s="28"/>
      <c r="S223" s="28"/>
      <c r="T223" s="28"/>
      <c r="U223" s="7"/>
      <c r="V223" s="28"/>
      <c r="W223" s="28"/>
      <c r="X223" s="2"/>
      <c r="Y223" s="2"/>
      <c r="Z223" s="2"/>
    </row>
    <row r="224" spans="1:26" ht="19.5" customHeight="1">
      <c r="A224" s="28"/>
      <c r="B224" s="28"/>
      <c r="C224" s="28"/>
      <c r="D224" s="29"/>
      <c r="E224" s="29"/>
      <c r="F224" s="28"/>
      <c r="G224" s="28"/>
      <c r="H224" s="28"/>
      <c r="I224" s="28"/>
      <c r="J224" s="28"/>
      <c r="K224" s="28"/>
      <c r="L224" s="28"/>
      <c r="M224" s="28"/>
      <c r="N224" s="28"/>
      <c r="O224" s="28"/>
      <c r="P224" s="28"/>
      <c r="Q224" s="28"/>
      <c r="R224" s="28"/>
      <c r="S224" s="28"/>
      <c r="T224" s="28"/>
      <c r="U224" s="7"/>
      <c r="V224" s="28"/>
      <c r="W224" s="28"/>
      <c r="X224" s="2"/>
      <c r="Y224" s="2"/>
      <c r="Z224" s="2"/>
    </row>
    <row r="225" spans="1:26" ht="19.5" customHeight="1">
      <c r="A225" s="28"/>
      <c r="B225" s="28"/>
      <c r="C225" s="28"/>
      <c r="D225" s="29"/>
      <c r="E225" s="29"/>
      <c r="F225" s="28"/>
      <c r="G225" s="28"/>
      <c r="H225" s="28"/>
      <c r="I225" s="28"/>
      <c r="J225" s="28"/>
      <c r="K225" s="28"/>
      <c r="L225" s="28"/>
      <c r="M225" s="28"/>
      <c r="N225" s="28"/>
      <c r="O225" s="28"/>
      <c r="P225" s="28"/>
      <c r="Q225" s="28"/>
      <c r="R225" s="28"/>
      <c r="S225" s="28"/>
      <c r="T225" s="28"/>
      <c r="U225" s="7"/>
      <c r="V225" s="28"/>
      <c r="W225" s="28"/>
      <c r="X225" s="2"/>
      <c r="Y225" s="2"/>
      <c r="Z225" s="2"/>
    </row>
    <row r="226" spans="1:26" ht="19.5" customHeight="1">
      <c r="A226" s="28"/>
      <c r="B226" s="28"/>
      <c r="C226" s="28"/>
      <c r="D226" s="29"/>
      <c r="E226" s="29"/>
      <c r="F226" s="28"/>
      <c r="G226" s="28"/>
      <c r="H226" s="28"/>
      <c r="I226" s="28"/>
      <c r="J226" s="28"/>
      <c r="K226" s="28"/>
      <c r="L226" s="28"/>
      <c r="M226" s="28"/>
      <c r="N226" s="28"/>
      <c r="O226" s="28"/>
      <c r="P226" s="28"/>
      <c r="Q226" s="28"/>
      <c r="R226" s="28"/>
      <c r="S226" s="28"/>
      <c r="T226" s="28"/>
      <c r="U226" s="7"/>
      <c r="V226" s="28"/>
      <c r="W226" s="28"/>
      <c r="X226" s="2"/>
      <c r="Y226" s="2"/>
      <c r="Z226" s="2"/>
    </row>
    <row r="227" spans="1:26" ht="19.5" customHeight="1">
      <c r="A227" s="28"/>
      <c r="B227" s="28"/>
      <c r="C227" s="28"/>
      <c r="D227" s="29"/>
      <c r="E227" s="29"/>
      <c r="F227" s="28"/>
      <c r="G227" s="28"/>
      <c r="H227" s="28"/>
      <c r="I227" s="28"/>
      <c r="J227" s="28"/>
      <c r="K227" s="28"/>
      <c r="L227" s="28"/>
      <c r="M227" s="28"/>
      <c r="N227" s="28"/>
      <c r="O227" s="28"/>
      <c r="P227" s="28"/>
      <c r="Q227" s="28"/>
      <c r="R227" s="28"/>
      <c r="S227" s="28"/>
      <c r="T227" s="28"/>
      <c r="U227" s="7"/>
      <c r="V227" s="28"/>
      <c r="W227" s="28"/>
      <c r="X227" s="2"/>
      <c r="Y227" s="2"/>
      <c r="Z227" s="2"/>
    </row>
    <row r="228" spans="1:26" ht="19.5" customHeight="1">
      <c r="A228" s="28"/>
      <c r="B228" s="28"/>
      <c r="C228" s="28"/>
      <c r="D228" s="29"/>
      <c r="E228" s="29"/>
      <c r="F228" s="28"/>
      <c r="G228" s="28"/>
      <c r="H228" s="28"/>
      <c r="I228" s="28"/>
      <c r="J228" s="28"/>
      <c r="K228" s="28"/>
      <c r="L228" s="28"/>
      <c r="M228" s="28"/>
      <c r="N228" s="28"/>
      <c r="O228" s="28"/>
      <c r="P228" s="28"/>
      <c r="Q228" s="28"/>
      <c r="R228" s="28"/>
      <c r="S228" s="28"/>
      <c r="T228" s="28"/>
      <c r="U228" s="7"/>
      <c r="V228" s="28"/>
      <c r="W228" s="28"/>
      <c r="X228" s="2"/>
      <c r="Y228" s="2"/>
      <c r="Z228" s="2"/>
    </row>
    <row r="229" spans="1:26" ht="19.5" customHeight="1">
      <c r="A229" s="28"/>
      <c r="B229" s="28"/>
      <c r="C229" s="28"/>
      <c r="D229" s="29"/>
      <c r="E229" s="29"/>
      <c r="F229" s="28"/>
      <c r="G229" s="28"/>
      <c r="H229" s="28"/>
      <c r="I229" s="28"/>
      <c r="J229" s="28"/>
      <c r="K229" s="28"/>
      <c r="L229" s="28"/>
      <c r="M229" s="28"/>
      <c r="N229" s="28"/>
      <c r="O229" s="28"/>
      <c r="P229" s="28"/>
      <c r="Q229" s="28"/>
      <c r="R229" s="28"/>
      <c r="S229" s="28"/>
      <c r="T229" s="28"/>
      <c r="U229" s="7"/>
      <c r="V229" s="28"/>
      <c r="W229" s="28"/>
      <c r="X229" s="2"/>
      <c r="Y229" s="2"/>
      <c r="Z229" s="2"/>
    </row>
    <row r="230" spans="1:26" ht="19.5" customHeight="1">
      <c r="A230" s="28"/>
      <c r="B230" s="28"/>
      <c r="C230" s="28"/>
      <c r="D230" s="29"/>
      <c r="E230" s="29"/>
      <c r="F230" s="28"/>
      <c r="G230" s="28"/>
      <c r="H230" s="28"/>
      <c r="I230" s="28"/>
      <c r="J230" s="28"/>
      <c r="K230" s="28"/>
      <c r="L230" s="28"/>
      <c r="M230" s="28"/>
      <c r="N230" s="28"/>
      <c r="O230" s="28"/>
      <c r="P230" s="28"/>
      <c r="Q230" s="28"/>
      <c r="R230" s="28"/>
      <c r="S230" s="28"/>
      <c r="T230" s="28"/>
      <c r="U230" s="7"/>
      <c r="V230" s="28"/>
      <c r="W230" s="28"/>
      <c r="X230" s="2"/>
      <c r="Y230" s="2"/>
      <c r="Z230" s="2"/>
    </row>
    <row r="231" spans="1:26" ht="19.5" customHeight="1">
      <c r="A231" s="28"/>
      <c r="B231" s="28"/>
      <c r="C231" s="28"/>
      <c r="D231" s="29"/>
      <c r="E231" s="29"/>
      <c r="F231" s="28"/>
      <c r="G231" s="28"/>
      <c r="H231" s="28"/>
      <c r="I231" s="28"/>
      <c r="J231" s="28"/>
      <c r="K231" s="28"/>
      <c r="L231" s="28"/>
      <c r="M231" s="28"/>
      <c r="N231" s="28"/>
      <c r="O231" s="28"/>
      <c r="P231" s="28"/>
      <c r="Q231" s="28"/>
      <c r="R231" s="28"/>
      <c r="S231" s="28"/>
      <c r="T231" s="28"/>
      <c r="U231" s="7"/>
      <c r="V231" s="28"/>
      <c r="W231" s="28"/>
      <c r="X231" s="2"/>
      <c r="Y231" s="2"/>
      <c r="Z231" s="2"/>
    </row>
    <row r="232" spans="1:26" ht="19.5" customHeight="1">
      <c r="A232" s="28"/>
      <c r="B232" s="28"/>
      <c r="C232" s="28"/>
      <c r="D232" s="29"/>
      <c r="E232" s="29"/>
      <c r="F232" s="28"/>
      <c r="G232" s="28"/>
      <c r="H232" s="28"/>
      <c r="I232" s="28"/>
      <c r="J232" s="28"/>
      <c r="K232" s="28"/>
      <c r="L232" s="28"/>
      <c r="M232" s="28"/>
      <c r="N232" s="28"/>
      <c r="O232" s="28"/>
      <c r="P232" s="28"/>
      <c r="Q232" s="28"/>
      <c r="R232" s="28"/>
      <c r="S232" s="28"/>
      <c r="T232" s="28"/>
      <c r="U232" s="7"/>
      <c r="V232" s="28"/>
      <c r="W232" s="28"/>
      <c r="X232" s="2"/>
      <c r="Y232" s="2"/>
      <c r="Z232" s="2"/>
    </row>
    <row r="233" spans="1:26" ht="19.5" customHeight="1">
      <c r="A233" s="28"/>
      <c r="B233" s="28"/>
      <c r="C233" s="28"/>
      <c r="D233" s="29"/>
      <c r="E233" s="29"/>
      <c r="F233" s="28"/>
      <c r="G233" s="28"/>
      <c r="H233" s="28"/>
      <c r="I233" s="28"/>
      <c r="J233" s="28"/>
      <c r="K233" s="28"/>
      <c r="L233" s="28"/>
      <c r="M233" s="28"/>
      <c r="N233" s="28"/>
      <c r="O233" s="28"/>
      <c r="P233" s="28"/>
      <c r="Q233" s="28"/>
      <c r="R233" s="28"/>
      <c r="S233" s="28"/>
      <c r="T233" s="28"/>
      <c r="U233" s="7"/>
      <c r="V233" s="28"/>
      <c r="W233" s="28"/>
      <c r="X233" s="2"/>
      <c r="Y233" s="2"/>
      <c r="Z233" s="2"/>
    </row>
    <row r="234" spans="1:26" ht="19.5" customHeight="1">
      <c r="A234" s="28"/>
      <c r="B234" s="28"/>
      <c r="C234" s="28"/>
      <c r="D234" s="29"/>
      <c r="E234" s="29"/>
      <c r="F234" s="28"/>
      <c r="G234" s="28"/>
      <c r="H234" s="28"/>
      <c r="I234" s="28"/>
      <c r="J234" s="28"/>
      <c r="K234" s="28"/>
      <c r="L234" s="28"/>
      <c r="M234" s="28"/>
      <c r="N234" s="28"/>
      <c r="O234" s="28"/>
      <c r="P234" s="28"/>
      <c r="Q234" s="28"/>
      <c r="R234" s="28"/>
      <c r="S234" s="28"/>
      <c r="T234" s="28"/>
      <c r="U234" s="7"/>
      <c r="V234" s="28"/>
      <c r="W234" s="28"/>
      <c r="X234" s="2"/>
      <c r="Y234" s="2"/>
      <c r="Z234" s="2"/>
    </row>
    <row r="235" spans="1:26" ht="19.5" customHeight="1">
      <c r="A235" s="28"/>
      <c r="B235" s="28"/>
      <c r="C235" s="28"/>
      <c r="D235" s="29"/>
      <c r="E235" s="29"/>
      <c r="F235" s="28"/>
      <c r="G235" s="28"/>
      <c r="H235" s="28"/>
      <c r="I235" s="28"/>
      <c r="J235" s="28"/>
      <c r="K235" s="28"/>
      <c r="L235" s="28"/>
      <c r="M235" s="28"/>
      <c r="N235" s="28"/>
      <c r="O235" s="28"/>
      <c r="P235" s="28"/>
      <c r="Q235" s="28"/>
      <c r="R235" s="28"/>
      <c r="S235" s="28"/>
      <c r="T235" s="28"/>
      <c r="U235" s="7"/>
      <c r="V235" s="28"/>
      <c r="W235" s="28"/>
      <c r="X235" s="2"/>
      <c r="Y235" s="2"/>
      <c r="Z235" s="2"/>
    </row>
    <row r="236" spans="1:26" ht="19.5" customHeight="1">
      <c r="A236" s="28"/>
      <c r="B236" s="28"/>
      <c r="C236" s="28"/>
      <c r="D236" s="29"/>
      <c r="E236" s="29"/>
      <c r="F236" s="28"/>
      <c r="G236" s="28"/>
      <c r="H236" s="28"/>
      <c r="I236" s="28"/>
      <c r="J236" s="28"/>
      <c r="K236" s="28"/>
      <c r="L236" s="28"/>
      <c r="M236" s="28"/>
      <c r="N236" s="28"/>
      <c r="O236" s="28"/>
      <c r="P236" s="28"/>
      <c r="Q236" s="28"/>
      <c r="R236" s="28"/>
      <c r="S236" s="28"/>
      <c r="T236" s="28"/>
      <c r="U236" s="7"/>
      <c r="V236" s="28"/>
      <c r="W236" s="28"/>
      <c r="X236" s="2"/>
      <c r="Y236" s="2"/>
      <c r="Z236" s="2"/>
    </row>
    <row r="237" spans="1:26" ht="19.5" customHeight="1">
      <c r="A237" s="28"/>
      <c r="B237" s="28"/>
      <c r="C237" s="28"/>
      <c r="D237" s="29"/>
      <c r="E237" s="29"/>
      <c r="F237" s="28"/>
      <c r="G237" s="28"/>
      <c r="H237" s="28"/>
      <c r="I237" s="28"/>
      <c r="J237" s="28"/>
      <c r="K237" s="28"/>
      <c r="L237" s="28"/>
      <c r="M237" s="28"/>
      <c r="N237" s="28"/>
      <c r="O237" s="28"/>
      <c r="P237" s="28"/>
      <c r="Q237" s="28"/>
      <c r="R237" s="28"/>
      <c r="S237" s="28"/>
      <c r="T237" s="28"/>
      <c r="U237" s="7"/>
      <c r="V237" s="28"/>
      <c r="W237" s="28"/>
      <c r="X237" s="2"/>
      <c r="Y237" s="2"/>
      <c r="Z237" s="2"/>
    </row>
    <row r="238" spans="1:26" ht="19.5" customHeight="1">
      <c r="A238" s="28"/>
      <c r="B238" s="28"/>
      <c r="C238" s="28"/>
      <c r="D238" s="29"/>
      <c r="E238" s="29"/>
      <c r="F238" s="28"/>
      <c r="G238" s="28"/>
      <c r="H238" s="28"/>
      <c r="I238" s="28"/>
      <c r="J238" s="28"/>
      <c r="K238" s="28"/>
      <c r="L238" s="28"/>
      <c r="M238" s="28"/>
      <c r="N238" s="28"/>
      <c r="O238" s="28"/>
      <c r="P238" s="28"/>
      <c r="Q238" s="28"/>
      <c r="R238" s="28"/>
      <c r="S238" s="28"/>
      <c r="T238" s="28"/>
      <c r="U238" s="7"/>
      <c r="V238" s="28"/>
      <c r="W238" s="28"/>
      <c r="X238" s="2"/>
      <c r="Y238" s="2"/>
      <c r="Z238" s="2"/>
    </row>
    <row r="239" spans="1:26" ht="19.5" customHeight="1">
      <c r="A239" s="28"/>
      <c r="B239" s="28"/>
      <c r="C239" s="28"/>
      <c r="D239" s="29"/>
      <c r="E239" s="29"/>
      <c r="F239" s="28"/>
      <c r="G239" s="28"/>
      <c r="H239" s="28"/>
      <c r="I239" s="28"/>
      <c r="J239" s="28"/>
      <c r="K239" s="28"/>
      <c r="L239" s="28"/>
      <c r="M239" s="28"/>
      <c r="N239" s="28"/>
      <c r="O239" s="28"/>
      <c r="P239" s="28"/>
      <c r="Q239" s="28"/>
      <c r="R239" s="28"/>
      <c r="S239" s="28"/>
      <c r="T239" s="28"/>
      <c r="U239" s="7"/>
      <c r="V239" s="28"/>
      <c r="W239" s="28"/>
      <c r="X239" s="2"/>
      <c r="Y239" s="2"/>
      <c r="Z239" s="2"/>
    </row>
    <row r="240" spans="1:26" ht="19.5" customHeight="1">
      <c r="A240" s="28"/>
      <c r="B240" s="28"/>
      <c r="C240" s="28"/>
      <c r="D240" s="29"/>
      <c r="E240" s="29"/>
      <c r="F240" s="28"/>
      <c r="G240" s="28"/>
      <c r="H240" s="28"/>
      <c r="I240" s="28"/>
      <c r="J240" s="28"/>
      <c r="K240" s="28"/>
      <c r="L240" s="28"/>
      <c r="M240" s="28"/>
      <c r="N240" s="28"/>
      <c r="O240" s="28"/>
      <c r="P240" s="28"/>
      <c r="Q240" s="28"/>
      <c r="R240" s="28"/>
      <c r="S240" s="28"/>
      <c r="T240" s="28"/>
      <c r="U240" s="7"/>
      <c r="V240" s="28"/>
      <c r="W240" s="28"/>
      <c r="X240" s="2"/>
      <c r="Y240" s="2"/>
      <c r="Z240" s="2"/>
    </row>
    <row r="241" spans="1:26" ht="19.5" customHeight="1">
      <c r="A241" s="28"/>
      <c r="B241" s="28"/>
      <c r="C241" s="28"/>
      <c r="D241" s="29"/>
      <c r="E241" s="29"/>
      <c r="F241" s="28"/>
      <c r="G241" s="28"/>
      <c r="H241" s="28"/>
      <c r="I241" s="28"/>
      <c r="J241" s="28"/>
      <c r="K241" s="28"/>
      <c r="L241" s="28"/>
      <c r="M241" s="28"/>
      <c r="N241" s="28"/>
      <c r="O241" s="28"/>
      <c r="P241" s="28"/>
      <c r="Q241" s="28"/>
      <c r="R241" s="28"/>
      <c r="S241" s="28"/>
      <c r="T241" s="28"/>
      <c r="U241" s="7"/>
      <c r="V241" s="28"/>
      <c r="W241" s="28"/>
      <c r="X241" s="2"/>
      <c r="Y241" s="2"/>
      <c r="Z241" s="2"/>
    </row>
    <row r="242" spans="1:26" ht="19.5" customHeight="1">
      <c r="A242" s="28"/>
      <c r="B242" s="28"/>
      <c r="C242" s="28"/>
      <c r="D242" s="29"/>
      <c r="E242" s="29"/>
      <c r="F242" s="28"/>
      <c r="G242" s="28"/>
      <c r="H242" s="28"/>
      <c r="I242" s="28"/>
      <c r="J242" s="28"/>
      <c r="K242" s="28"/>
      <c r="L242" s="28"/>
      <c r="M242" s="28"/>
      <c r="N242" s="28"/>
      <c r="O242" s="28"/>
      <c r="P242" s="28"/>
      <c r="Q242" s="28"/>
      <c r="R242" s="28"/>
      <c r="S242" s="28"/>
      <c r="T242" s="28"/>
      <c r="U242" s="7"/>
      <c r="V242" s="28"/>
      <c r="W242" s="28"/>
      <c r="X242" s="2"/>
      <c r="Y242" s="2"/>
      <c r="Z242" s="2"/>
    </row>
    <row r="243" spans="1:26" ht="19.5" customHeight="1">
      <c r="A243" s="28"/>
      <c r="B243" s="28"/>
      <c r="C243" s="28"/>
      <c r="D243" s="29"/>
      <c r="E243" s="29"/>
      <c r="F243" s="28"/>
      <c r="G243" s="28"/>
      <c r="H243" s="28"/>
      <c r="I243" s="28"/>
      <c r="J243" s="28"/>
      <c r="K243" s="28"/>
      <c r="L243" s="28"/>
      <c r="M243" s="28"/>
      <c r="N243" s="28"/>
      <c r="O243" s="28"/>
      <c r="P243" s="28"/>
      <c r="Q243" s="28"/>
      <c r="R243" s="28"/>
      <c r="S243" s="28"/>
      <c r="T243" s="28"/>
      <c r="U243" s="7"/>
      <c r="V243" s="28"/>
      <c r="W243" s="28"/>
      <c r="X243" s="2"/>
      <c r="Y243" s="2"/>
      <c r="Z243" s="2"/>
    </row>
    <row r="244" spans="1:26" ht="19.5" customHeight="1">
      <c r="A244" s="28"/>
      <c r="B244" s="28"/>
      <c r="C244" s="28"/>
      <c r="D244" s="29"/>
      <c r="E244" s="29"/>
      <c r="F244" s="28"/>
      <c r="G244" s="28"/>
      <c r="H244" s="28"/>
      <c r="I244" s="28"/>
      <c r="J244" s="28"/>
      <c r="K244" s="28"/>
      <c r="L244" s="28"/>
      <c r="M244" s="28"/>
      <c r="N244" s="28"/>
      <c r="O244" s="28"/>
      <c r="P244" s="28"/>
      <c r="Q244" s="28"/>
      <c r="R244" s="28"/>
      <c r="S244" s="28"/>
      <c r="T244" s="28"/>
      <c r="U244" s="7"/>
      <c r="V244" s="28"/>
      <c r="W244" s="28"/>
      <c r="X244" s="2"/>
      <c r="Y244" s="2"/>
      <c r="Z244" s="2"/>
    </row>
    <row r="245" spans="1:26" ht="19.5" customHeight="1">
      <c r="A245" s="28"/>
      <c r="B245" s="28"/>
      <c r="C245" s="28"/>
      <c r="D245" s="29"/>
      <c r="E245" s="29"/>
      <c r="F245" s="28"/>
      <c r="G245" s="28"/>
      <c r="H245" s="28"/>
      <c r="I245" s="28"/>
      <c r="J245" s="28"/>
      <c r="K245" s="28"/>
      <c r="L245" s="28"/>
      <c r="M245" s="28"/>
      <c r="N245" s="28"/>
      <c r="O245" s="28"/>
      <c r="P245" s="28"/>
      <c r="Q245" s="28"/>
      <c r="R245" s="28"/>
      <c r="S245" s="28"/>
      <c r="T245" s="28"/>
      <c r="U245" s="7"/>
      <c r="V245" s="28"/>
      <c r="W245" s="28"/>
      <c r="X245" s="2"/>
      <c r="Y245" s="2"/>
      <c r="Z245" s="2"/>
    </row>
    <row r="246" spans="1:26" ht="19.5" customHeight="1">
      <c r="A246" s="28"/>
      <c r="B246" s="28"/>
      <c r="C246" s="28"/>
      <c r="D246" s="29"/>
      <c r="E246" s="29"/>
      <c r="F246" s="28"/>
      <c r="G246" s="28"/>
      <c r="H246" s="28"/>
      <c r="I246" s="28"/>
      <c r="J246" s="28"/>
      <c r="K246" s="28"/>
      <c r="L246" s="28"/>
      <c r="M246" s="28"/>
      <c r="N246" s="28"/>
      <c r="O246" s="28"/>
      <c r="P246" s="28"/>
      <c r="Q246" s="28"/>
      <c r="R246" s="28"/>
      <c r="S246" s="28"/>
      <c r="T246" s="28"/>
      <c r="U246" s="7"/>
      <c r="V246" s="28"/>
      <c r="W246" s="28"/>
      <c r="X246" s="2"/>
      <c r="Y246" s="2"/>
      <c r="Z246" s="2"/>
    </row>
    <row r="247" spans="1:26" ht="19.5" customHeight="1">
      <c r="A247" s="28"/>
      <c r="B247" s="28"/>
      <c r="C247" s="28"/>
      <c r="D247" s="29"/>
      <c r="E247" s="29"/>
      <c r="F247" s="28"/>
      <c r="G247" s="28"/>
      <c r="H247" s="28"/>
      <c r="I247" s="28"/>
      <c r="J247" s="28"/>
      <c r="K247" s="28"/>
      <c r="L247" s="28"/>
      <c r="M247" s="28"/>
      <c r="N247" s="28"/>
      <c r="O247" s="28"/>
      <c r="P247" s="28"/>
      <c r="Q247" s="28"/>
      <c r="R247" s="28"/>
      <c r="S247" s="28"/>
      <c r="T247" s="28"/>
      <c r="U247" s="7"/>
      <c r="V247" s="28"/>
      <c r="W247" s="28"/>
      <c r="X247" s="2"/>
      <c r="Y247" s="2"/>
      <c r="Z247" s="2"/>
    </row>
    <row r="248" spans="1:26" ht="19.5" customHeight="1">
      <c r="A248" s="28"/>
      <c r="B248" s="28"/>
      <c r="C248" s="28"/>
      <c r="D248" s="29"/>
      <c r="E248" s="29"/>
      <c r="F248" s="28"/>
      <c r="G248" s="28"/>
      <c r="H248" s="28"/>
      <c r="I248" s="28"/>
      <c r="J248" s="28"/>
      <c r="K248" s="28"/>
      <c r="L248" s="28"/>
      <c r="M248" s="28"/>
      <c r="N248" s="28"/>
      <c r="O248" s="28"/>
      <c r="P248" s="28"/>
      <c r="Q248" s="28"/>
      <c r="R248" s="28"/>
      <c r="S248" s="28"/>
      <c r="T248" s="28"/>
      <c r="U248" s="7"/>
      <c r="V248" s="28"/>
      <c r="W248" s="28"/>
      <c r="X248" s="2"/>
      <c r="Y248" s="2"/>
      <c r="Z248" s="2"/>
    </row>
    <row r="249" spans="1:26" ht="19.5" customHeight="1">
      <c r="A249" s="28"/>
      <c r="B249" s="28"/>
      <c r="C249" s="28"/>
      <c r="D249" s="29"/>
      <c r="E249" s="29"/>
      <c r="F249" s="28"/>
      <c r="G249" s="28"/>
      <c r="H249" s="28"/>
      <c r="I249" s="28"/>
      <c r="J249" s="28"/>
      <c r="K249" s="28"/>
      <c r="L249" s="28"/>
      <c r="M249" s="28"/>
      <c r="N249" s="28"/>
      <c r="O249" s="28"/>
      <c r="P249" s="28"/>
      <c r="Q249" s="28"/>
      <c r="R249" s="28"/>
      <c r="S249" s="28"/>
      <c r="T249" s="28"/>
      <c r="U249" s="7"/>
      <c r="V249" s="28"/>
      <c r="W249" s="28"/>
      <c r="X249" s="2"/>
      <c r="Y249" s="2"/>
      <c r="Z249" s="2"/>
    </row>
    <row r="250" spans="1:26" ht="19.5" customHeight="1">
      <c r="A250" s="28"/>
      <c r="B250" s="28"/>
      <c r="C250" s="28"/>
      <c r="D250" s="29"/>
      <c r="E250" s="29"/>
      <c r="F250" s="28"/>
      <c r="G250" s="28"/>
      <c r="H250" s="28"/>
      <c r="I250" s="28"/>
      <c r="J250" s="28"/>
      <c r="K250" s="28"/>
      <c r="L250" s="28"/>
      <c r="M250" s="28"/>
      <c r="N250" s="28"/>
      <c r="O250" s="28"/>
      <c r="P250" s="28"/>
      <c r="Q250" s="28"/>
      <c r="R250" s="28"/>
      <c r="S250" s="28"/>
      <c r="T250" s="28"/>
      <c r="U250" s="7"/>
      <c r="V250" s="28"/>
      <c r="W250" s="28"/>
      <c r="X250" s="2"/>
      <c r="Y250" s="2"/>
      <c r="Z250" s="2"/>
    </row>
    <row r="251" spans="1:26" ht="19.5" customHeight="1">
      <c r="A251" s="28"/>
      <c r="B251" s="28"/>
      <c r="C251" s="28"/>
      <c r="D251" s="29"/>
      <c r="E251" s="29"/>
      <c r="F251" s="28"/>
      <c r="G251" s="28"/>
      <c r="H251" s="28"/>
      <c r="I251" s="28"/>
      <c r="J251" s="28"/>
      <c r="K251" s="28"/>
      <c r="L251" s="28"/>
      <c r="M251" s="28"/>
      <c r="N251" s="28"/>
      <c r="O251" s="28"/>
      <c r="P251" s="28"/>
      <c r="Q251" s="28"/>
      <c r="R251" s="28"/>
      <c r="S251" s="28"/>
      <c r="T251" s="28"/>
      <c r="U251" s="7"/>
      <c r="V251" s="28"/>
      <c r="W251" s="28"/>
      <c r="X251" s="2"/>
      <c r="Y251" s="2"/>
      <c r="Z251" s="2"/>
    </row>
    <row r="252" spans="1:26" ht="19.5" customHeight="1">
      <c r="A252" s="28"/>
      <c r="B252" s="28"/>
      <c r="C252" s="28"/>
      <c r="D252" s="29"/>
      <c r="E252" s="29"/>
      <c r="F252" s="28"/>
      <c r="G252" s="28"/>
      <c r="H252" s="28"/>
      <c r="I252" s="28"/>
      <c r="J252" s="28"/>
      <c r="K252" s="28"/>
      <c r="L252" s="28"/>
      <c r="M252" s="28"/>
      <c r="N252" s="28"/>
      <c r="O252" s="28"/>
      <c r="P252" s="28"/>
      <c r="Q252" s="28"/>
      <c r="R252" s="28"/>
      <c r="S252" s="28"/>
      <c r="T252" s="28"/>
      <c r="U252" s="7"/>
      <c r="V252" s="28"/>
      <c r="W252" s="28"/>
      <c r="X252" s="2"/>
      <c r="Y252" s="2"/>
      <c r="Z252" s="2"/>
    </row>
    <row r="253" spans="1:26" ht="19.5" customHeight="1">
      <c r="A253" s="28"/>
      <c r="B253" s="28"/>
      <c r="C253" s="28"/>
      <c r="D253" s="29"/>
      <c r="E253" s="29"/>
      <c r="F253" s="28"/>
      <c r="G253" s="28"/>
      <c r="H253" s="28"/>
      <c r="I253" s="28"/>
      <c r="J253" s="28"/>
      <c r="K253" s="28"/>
      <c r="L253" s="28"/>
      <c r="M253" s="28"/>
      <c r="N253" s="28"/>
      <c r="O253" s="28"/>
      <c r="P253" s="28"/>
      <c r="Q253" s="28"/>
      <c r="R253" s="28"/>
      <c r="S253" s="28"/>
      <c r="T253" s="28"/>
      <c r="U253" s="7"/>
      <c r="V253" s="28"/>
      <c r="W253" s="28"/>
      <c r="X253" s="2"/>
      <c r="Y253" s="2"/>
      <c r="Z253" s="2"/>
    </row>
    <row r="254" spans="1:26" ht="19.5" customHeight="1">
      <c r="A254" s="28"/>
      <c r="B254" s="28"/>
      <c r="C254" s="28"/>
      <c r="D254" s="29"/>
      <c r="E254" s="29"/>
      <c r="F254" s="28"/>
      <c r="G254" s="28"/>
      <c r="H254" s="28"/>
      <c r="I254" s="28"/>
      <c r="J254" s="28"/>
      <c r="K254" s="28"/>
      <c r="L254" s="28"/>
      <c r="M254" s="28"/>
      <c r="N254" s="28"/>
      <c r="O254" s="28"/>
      <c r="P254" s="28"/>
      <c r="Q254" s="28"/>
      <c r="R254" s="28"/>
      <c r="S254" s="28"/>
      <c r="T254" s="28"/>
      <c r="U254" s="7"/>
      <c r="V254" s="28"/>
      <c r="W254" s="28"/>
      <c r="X254" s="2"/>
      <c r="Y254" s="2"/>
      <c r="Z254" s="2"/>
    </row>
    <row r="255" spans="1:26" ht="19.5" customHeight="1">
      <c r="A255" s="28"/>
      <c r="B255" s="28"/>
      <c r="C255" s="28"/>
      <c r="D255" s="29"/>
      <c r="E255" s="29"/>
      <c r="F255" s="28"/>
      <c r="G255" s="28"/>
      <c r="H255" s="28"/>
      <c r="I255" s="28"/>
      <c r="J255" s="28"/>
      <c r="K255" s="28"/>
      <c r="L255" s="28"/>
      <c r="M255" s="28"/>
      <c r="N255" s="28"/>
      <c r="O255" s="28"/>
      <c r="P255" s="28"/>
      <c r="Q255" s="28"/>
      <c r="R255" s="28"/>
      <c r="S255" s="28"/>
      <c r="T255" s="28"/>
      <c r="U255" s="7"/>
      <c r="V255" s="28"/>
      <c r="W255" s="28"/>
      <c r="X255" s="2"/>
      <c r="Y255" s="2"/>
      <c r="Z255" s="2"/>
    </row>
    <row r="256" spans="1:26" ht="19.5" customHeight="1">
      <c r="A256" s="28"/>
      <c r="B256" s="28"/>
      <c r="C256" s="28"/>
      <c r="D256" s="29"/>
      <c r="E256" s="29"/>
      <c r="F256" s="28"/>
      <c r="G256" s="28"/>
      <c r="H256" s="28"/>
      <c r="I256" s="28"/>
      <c r="J256" s="28"/>
      <c r="K256" s="28"/>
      <c r="L256" s="28"/>
      <c r="M256" s="28"/>
      <c r="N256" s="28"/>
      <c r="O256" s="28"/>
      <c r="P256" s="28"/>
      <c r="Q256" s="28"/>
      <c r="R256" s="28"/>
      <c r="S256" s="28"/>
      <c r="T256" s="28"/>
      <c r="U256" s="7"/>
      <c r="V256" s="28"/>
      <c r="W256" s="28"/>
      <c r="X256" s="2"/>
      <c r="Y256" s="2"/>
      <c r="Z256" s="2"/>
    </row>
    <row r="257" spans="1:26" ht="19.5" customHeight="1">
      <c r="A257" s="28"/>
      <c r="B257" s="28"/>
      <c r="C257" s="28"/>
      <c r="D257" s="29"/>
      <c r="E257" s="29"/>
      <c r="F257" s="28"/>
      <c r="G257" s="28"/>
      <c r="H257" s="28"/>
      <c r="I257" s="28"/>
      <c r="J257" s="28"/>
      <c r="K257" s="28"/>
      <c r="L257" s="28"/>
      <c r="M257" s="28"/>
      <c r="N257" s="28"/>
      <c r="O257" s="28"/>
      <c r="P257" s="28"/>
      <c r="Q257" s="28"/>
      <c r="R257" s="28"/>
      <c r="S257" s="28"/>
      <c r="T257" s="28"/>
      <c r="U257" s="7"/>
      <c r="V257" s="28"/>
      <c r="W257" s="28"/>
      <c r="X257" s="2"/>
      <c r="Y257" s="2"/>
      <c r="Z257" s="2"/>
    </row>
    <row r="258" spans="1:26" ht="19.5" customHeight="1">
      <c r="A258" s="28"/>
      <c r="B258" s="28"/>
      <c r="C258" s="28"/>
      <c r="D258" s="29"/>
      <c r="E258" s="29"/>
      <c r="F258" s="28"/>
      <c r="G258" s="28"/>
      <c r="H258" s="28"/>
      <c r="I258" s="28"/>
      <c r="J258" s="28"/>
      <c r="K258" s="28"/>
      <c r="L258" s="28"/>
      <c r="M258" s="28"/>
      <c r="N258" s="28"/>
      <c r="O258" s="28"/>
      <c r="P258" s="28"/>
      <c r="Q258" s="28"/>
      <c r="R258" s="28"/>
      <c r="S258" s="28"/>
      <c r="T258" s="28"/>
      <c r="U258" s="7"/>
      <c r="V258" s="28"/>
      <c r="W258" s="28"/>
      <c r="X258" s="2"/>
      <c r="Y258" s="2"/>
      <c r="Z258" s="2"/>
    </row>
    <row r="259" spans="1:26" ht="19.5" customHeight="1">
      <c r="A259" s="28"/>
      <c r="B259" s="28"/>
      <c r="C259" s="28"/>
      <c r="D259" s="29"/>
      <c r="E259" s="29"/>
      <c r="F259" s="28"/>
      <c r="G259" s="28"/>
      <c r="H259" s="28"/>
      <c r="I259" s="28"/>
      <c r="J259" s="28"/>
      <c r="K259" s="28"/>
      <c r="L259" s="28"/>
      <c r="M259" s="28"/>
      <c r="N259" s="28"/>
      <c r="O259" s="28"/>
      <c r="P259" s="28"/>
      <c r="Q259" s="28"/>
      <c r="R259" s="28"/>
      <c r="S259" s="28"/>
      <c r="T259" s="28"/>
      <c r="U259" s="7"/>
      <c r="V259" s="28"/>
      <c r="W259" s="28"/>
      <c r="X259" s="2"/>
      <c r="Y259" s="2"/>
      <c r="Z259" s="2"/>
    </row>
    <row r="260" spans="1:26" ht="19.5" customHeight="1">
      <c r="A260" s="28"/>
      <c r="B260" s="28"/>
      <c r="C260" s="28"/>
      <c r="D260" s="29"/>
      <c r="E260" s="29"/>
      <c r="F260" s="28"/>
      <c r="G260" s="28"/>
      <c r="H260" s="28"/>
      <c r="I260" s="28"/>
      <c r="J260" s="28"/>
      <c r="K260" s="28"/>
      <c r="L260" s="28"/>
      <c r="M260" s="28"/>
      <c r="N260" s="28"/>
      <c r="O260" s="28"/>
      <c r="P260" s="28"/>
      <c r="Q260" s="28"/>
      <c r="R260" s="28"/>
      <c r="S260" s="28"/>
      <c r="T260" s="28"/>
      <c r="U260" s="7"/>
      <c r="V260" s="28"/>
      <c r="W260" s="28"/>
      <c r="X260" s="2"/>
      <c r="Y260" s="2"/>
      <c r="Z260" s="2"/>
    </row>
    <row r="261" spans="1:26" ht="19.5" customHeight="1">
      <c r="A261" s="28"/>
      <c r="B261" s="28"/>
      <c r="C261" s="28"/>
      <c r="D261" s="29"/>
      <c r="E261" s="29"/>
      <c r="F261" s="28"/>
      <c r="G261" s="28"/>
      <c r="H261" s="28"/>
      <c r="I261" s="28"/>
      <c r="J261" s="28"/>
      <c r="K261" s="28"/>
      <c r="L261" s="28"/>
      <c r="M261" s="28"/>
      <c r="N261" s="28"/>
      <c r="O261" s="28"/>
      <c r="P261" s="28"/>
      <c r="Q261" s="28"/>
      <c r="R261" s="28"/>
      <c r="S261" s="28"/>
      <c r="T261" s="28"/>
      <c r="U261" s="7"/>
      <c r="V261" s="28"/>
      <c r="W261" s="28"/>
      <c r="X261" s="2"/>
      <c r="Y261" s="2"/>
      <c r="Z261" s="2"/>
    </row>
    <row r="262" spans="1:26" ht="19.5" customHeight="1">
      <c r="A262" s="28"/>
      <c r="B262" s="28"/>
      <c r="C262" s="28"/>
      <c r="D262" s="29"/>
      <c r="E262" s="29"/>
      <c r="F262" s="28"/>
      <c r="G262" s="28"/>
      <c r="H262" s="28"/>
      <c r="I262" s="28"/>
      <c r="J262" s="28"/>
      <c r="K262" s="28"/>
      <c r="L262" s="28"/>
      <c r="M262" s="28"/>
      <c r="N262" s="28"/>
      <c r="O262" s="28"/>
      <c r="P262" s="28"/>
      <c r="Q262" s="28"/>
      <c r="R262" s="28"/>
      <c r="S262" s="28"/>
      <c r="T262" s="28"/>
      <c r="U262" s="7"/>
      <c r="V262" s="28"/>
      <c r="W262" s="28"/>
      <c r="X262" s="2"/>
      <c r="Y262" s="2"/>
      <c r="Z262" s="2"/>
    </row>
    <row r="263" spans="1:26" ht="19.5" customHeight="1">
      <c r="A263" s="28"/>
      <c r="B263" s="28"/>
      <c r="C263" s="28"/>
      <c r="D263" s="29"/>
      <c r="E263" s="29"/>
      <c r="F263" s="28"/>
      <c r="G263" s="28"/>
      <c r="H263" s="28"/>
      <c r="I263" s="28"/>
      <c r="J263" s="28"/>
      <c r="K263" s="28"/>
      <c r="L263" s="28"/>
      <c r="M263" s="28"/>
      <c r="N263" s="28"/>
      <c r="O263" s="28"/>
      <c r="P263" s="28"/>
      <c r="Q263" s="28"/>
      <c r="R263" s="28"/>
      <c r="S263" s="28"/>
      <c r="T263" s="28"/>
      <c r="U263" s="7"/>
      <c r="V263" s="28"/>
      <c r="W263" s="28"/>
      <c r="X263" s="2"/>
      <c r="Y263" s="2"/>
      <c r="Z263" s="2"/>
    </row>
    <row r="264" spans="1:26" ht="19.5" customHeight="1">
      <c r="A264" s="28"/>
      <c r="B264" s="28"/>
      <c r="C264" s="28"/>
      <c r="D264" s="29"/>
      <c r="E264" s="29"/>
      <c r="F264" s="28"/>
      <c r="G264" s="28"/>
      <c r="H264" s="28"/>
      <c r="I264" s="28"/>
      <c r="J264" s="28"/>
      <c r="K264" s="28"/>
      <c r="L264" s="28"/>
      <c r="M264" s="28"/>
      <c r="N264" s="28"/>
      <c r="O264" s="28"/>
      <c r="P264" s="28"/>
      <c r="Q264" s="28"/>
      <c r="R264" s="28"/>
      <c r="S264" s="28"/>
      <c r="T264" s="28"/>
      <c r="U264" s="7"/>
      <c r="V264" s="28"/>
      <c r="W264" s="28"/>
      <c r="X264" s="2"/>
      <c r="Y264" s="2"/>
      <c r="Z264" s="2"/>
    </row>
    <row r="265" spans="1:26" ht="19.5" customHeight="1">
      <c r="A265" s="28"/>
      <c r="B265" s="28"/>
      <c r="C265" s="28"/>
      <c r="D265" s="29"/>
      <c r="E265" s="29"/>
      <c r="F265" s="28"/>
      <c r="G265" s="28"/>
      <c r="H265" s="28"/>
      <c r="I265" s="28"/>
      <c r="J265" s="28"/>
      <c r="K265" s="28"/>
      <c r="L265" s="28"/>
      <c r="M265" s="28"/>
      <c r="N265" s="28"/>
      <c r="O265" s="28"/>
      <c r="P265" s="28"/>
      <c r="Q265" s="28"/>
      <c r="R265" s="28"/>
      <c r="S265" s="28"/>
      <c r="T265" s="28"/>
      <c r="U265" s="7"/>
      <c r="V265" s="28"/>
      <c r="W265" s="28"/>
      <c r="X265" s="2"/>
      <c r="Y265" s="2"/>
      <c r="Z265" s="2"/>
    </row>
    <row r="266" spans="1:26" ht="19.5" customHeight="1">
      <c r="A266" s="28"/>
      <c r="B266" s="28"/>
      <c r="C266" s="28"/>
      <c r="D266" s="29"/>
      <c r="E266" s="29"/>
      <c r="F266" s="28"/>
      <c r="G266" s="28"/>
      <c r="H266" s="28"/>
      <c r="I266" s="28"/>
      <c r="J266" s="28"/>
      <c r="K266" s="28"/>
      <c r="L266" s="28"/>
      <c r="M266" s="28"/>
      <c r="N266" s="28"/>
      <c r="O266" s="28"/>
      <c r="P266" s="28"/>
      <c r="Q266" s="28"/>
      <c r="R266" s="28"/>
      <c r="S266" s="28"/>
      <c r="T266" s="28"/>
      <c r="U266" s="7"/>
      <c r="V266" s="28"/>
      <c r="W266" s="28"/>
      <c r="X266" s="2"/>
      <c r="Y266" s="2"/>
      <c r="Z266" s="2"/>
    </row>
    <row r="267" spans="1:26" ht="19.5" customHeight="1">
      <c r="A267" s="28"/>
      <c r="B267" s="28"/>
      <c r="C267" s="28"/>
      <c r="D267" s="29"/>
      <c r="E267" s="29"/>
      <c r="F267" s="28"/>
      <c r="G267" s="28"/>
      <c r="H267" s="28"/>
      <c r="I267" s="28"/>
      <c r="J267" s="28"/>
      <c r="K267" s="28"/>
      <c r="L267" s="28"/>
      <c r="M267" s="28"/>
      <c r="N267" s="28"/>
      <c r="O267" s="28"/>
      <c r="P267" s="28"/>
      <c r="Q267" s="28"/>
      <c r="R267" s="28"/>
      <c r="S267" s="28"/>
      <c r="T267" s="28"/>
      <c r="U267" s="7"/>
      <c r="V267" s="28"/>
      <c r="W267" s="28"/>
      <c r="X267" s="2"/>
      <c r="Y267" s="2"/>
      <c r="Z267" s="2"/>
    </row>
    <row r="268" spans="1:26" ht="19.5" customHeight="1">
      <c r="A268" s="28"/>
      <c r="B268" s="28"/>
      <c r="C268" s="28"/>
      <c r="D268" s="29"/>
      <c r="E268" s="29"/>
      <c r="F268" s="28"/>
      <c r="G268" s="28"/>
      <c r="H268" s="28"/>
      <c r="I268" s="28"/>
      <c r="J268" s="28"/>
      <c r="K268" s="28"/>
      <c r="L268" s="28"/>
      <c r="M268" s="28"/>
      <c r="N268" s="28"/>
      <c r="O268" s="28"/>
      <c r="P268" s="28"/>
      <c r="Q268" s="28"/>
      <c r="R268" s="28"/>
      <c r="S268" s="28"/>
      <c r="T268" s="28"/>
      <c r="U268" s="7"/>
      <c r="V268" s="28"/>
      <c r="W268" s="28"/>
      <c r="X268" s="2"/>
      <c r="Y268" s="2"/>
      <c r="Z268" s="2"/>
    </row>
    <row r="269" spans="1:26" ht="19.5" customHeight="1">
      <c r="A269" s="28"/>
      <c r="B269" s="28"/>
      <c r="C269" s="28"/>
      <c r="D269" s="29"/>
      <c r="E269" s="29"/>
      <c r="F269" s="28"/>
      <c r="G269" s="28"/>
      <c r="H269" s="28"/>
      <c r="I269" s="28"/>
      <c r="J269" s="28"/>
      <c r="K269" s="28"/>
      <c r="L269" s="28"/>
      <c r="M269" s="28"/>
      <c r="N269" s="28"/>
      <c r="O269" s="28"/>
      <c r="P269" s="28"/>
      <c r="Q269" s="28"/>
      <c r="R269" s="28"/>
      <c r="S269" s="28"/>
      <c r="T269" s="28"/>
      <c r="U269" s="7"/>
      <c r="V269" s="28"/>
      <c r="W269" s="28"/>
      <c r="X269" s="2"/>
      <c r="Y269" s="2"/>
      <c r="Z269" s="2"/>
    </row>
    <row r="270" spans="1:26" ht="19.5" customHeight="1">
      <c r="A270" s="28"/>
      <c r="B270" s="28"/>
      <c r="C270" s="28"/>
      <c r="D270" s="29"/>
      <c r="E270" s="29"/>
      <c r="F270" s="28"/>
      <c r="G270" s="28"/>
      <c r="H270" s="28"/>
      <c r="I270" s="28"/>
      <c r="J270" s="28"/>
      <c r="K270" s="28"/>
      <c r="L270" s="28"/>
      <c r="M270" s="28"/>
      <c r="N270" s="28"/>
      <c r="O270" s="28"/>
      <c r="P270" s="28"/>
      <c r="Q270" s="28"/>
      <c r="R270" s="28"/>
      <c r="S270" s="28"/>
      <c r="T270" s="28"/>
      <c r="U270" s="7"/>
      <c r="V270" s="28"/>
      <c r="W270" s="28"/>
      <c r="X270" s="2"/>
      <c r="Y270" s="2"/>
      <c r="Z270" s="2"/>
    </row>
    <row r="271" spans="1:26" ht="19.5" customHeight="1">
      <c r="A271" s="28"/>
      <c r="B271" s="28"/>
      <c r="C271" s="28"/>
      <c r="D271" s="29"/>
      <c r="E271" s="29"/>
      <c r="F271" s="28"/>
      <c r="G271" s="28"/>
      <c r="H271" s="28"/>
      <c r="I271" s="28"/>
      <c r="J271" s="28"/>
      <c r="K271" s="28"/>
      <c r="L271" s="28"/>
      <c r="M271" s="28"/>
      <c r="N271" s="28"/>
      <c r="O271" s="28"/>
      <c r="P271" s="28"/>
      <c r="Q271" s="28"/>
      <c r="R271" s="28"/>
      <c r="S271" s="28"/>
      <c r="T271" s="28"/>
      <c r="U271" s="7"/>
      <c r="V271" s="28"/>
      <c r="W271" s="28"/>
      <c r="X271" s="2"/>
      <c r="Y271" s="2"/>
      <c r="Z271" s="2"/>
    </row>
    <row r="272" spans="1:26" ht="19.5" customHeight="1">
      <c r="A272" s="28"/>
      <c r="B272" s="28"/>
      <c r="C272" s="28"/>
      <c r="D272" s="29"/>
      <c r="E272" s="29"/>
      <c r="F272" s="28"/>
      <c r="G272" s="28"/>
      <c r="H272" s="28"/>
      <c r="I272" s="28"/>
      <c r="J272" s="28"/>
      <c r="K272" s="28"/>
      <c r="L272" s="28"/>
      <c r="M272" s="28"/>
      <c r="N272" s="28"/>
      <c r="O272" s="28"/>
      <c r="P272" s="28"/>
      <c r="Q272" s="28"/>
      <c r="R272" s="28"/>
      <c r="S272" s="28"/>
      <c r="T272" s="28"/>
      <c r="U272" s="7"/>
      <c r="V272" s="28"/>
      <c r="W272" s="28"/>
      <c r="X272" s="2"/>
      <c r="Y272" s="2"/>
      <c r="Z272" s="2"/>
    </row>
    <row r="273" spans="1:26" ht="19.5" customHeight="1">
      <c r="A273" s="28"/>
      <c r="B273" s="28"/>
      <c r="C273" s="28"/>
      <c r="D273" s="29"/>
      <c r="E273" s="29"/>
      <c r="F273" s="28"/>
      <c r="G273" s="28"/>
      <c r="H273" s="28"/>
      <c r="I273" s="28"/>
      <c r="J273" s="28"/>
      <c r="K273" s="28"/>
      <c r="L273" s="28"/>
      <c r="M273" s="28"/>
      <c r="N273" s="28"/>
      <c r="O273" s="28"/>
      <c r="P273" s="28"/>
      <c r="Q273" s="28"/>
      <c r="R273" s="28"/>
      <c r="S273" s="28"/>
      <c r="T273" s="28"/>
      <c r="U273" s="7"/>
      <c r="V273" s="28"/>
      <c r="W273" s="28"/>
      <c r="X273" s="2"/>
      <c r="Y273" s="2"/>
      <c r="Z273" s="2"/>
    </row>
    <row r="274" spans="1:26" ht="19.5" customHeight="1">
      <c r="A274" s="28"/>
      <c r="B274" s="28"/>
      <c r="C274" s="28"/>
      <c r="D274" s="29"/>
      <c r="E274" s="29"/>
      <c r="F274" s="28"/>
      <c r="G274" s="28"/>
      <c r="H274" s="28"/>
      <c r="I274" s="28"/>
      <c r="J274" s="28"/>
      <c r="K274" s="28"/>
      <c r="L274" s="28"/>
      <c r="M274" s="28"/>
      <c r="N274" s="28"/>
      <c r="O274" s="28"/>
      <c r="P274" s="28"/>
      <c r="Q274" s="28"/>
      <c r="R274" s="28"/>
      <c r="S274" s="28"/>
      <c r="T274" s="28"/>
      <c r="U274" s="7"/>
      <c r="V274" s="28"/>
      <c r="W274" s="28"/>
      <c r="X274" s="2"/>
      <c r="Y274" s="2"/>
      <c r="Z274" s="2"/>
    </row>
    <row r="275" spans="1:26" ht="19.5" customHeight="1">
      <c r="A275" s="28"/>
      <c r="B275" s="28"/>
      <c r="C275" s="28"/>
      <c r="D275" s="29"/>
      <c r="E275" s="29"/>
      <c r="F275" s="28"/>
      <c r="G275" s="28"/>
      <c r="H275" s="28"/>
      <c r="I275" s="28"/>
      <c r="J275" s="28"/>
      <c r="K275" s="28"/>
      <c r="L275" s="28"/>
      <c r="M275" s="28"/>
      <c r="N275" s="28"/>
      <c r="O275" s="28"/>
      <c r="P275" s="28"/>
      <c r="Q275" s="28"/>
      <c r="R275" s="28"/>
      <c r="S275" s="28"/>
      <c r="T275" s="28"/>
      <c r="U275" s="7"/>
      <c r="V275" s="28"/>
      <c r="W275" s="28"/>
      <c r="X275" s="2"/>
      <c r="Y275" s="2"/>
      <c r="Z275" s="2"/>
    </row>
    <row r="276" spans="1:26" ht="19.5" customHeight="1">
      <c r="A276" s="28"/>
      <c r="B276" s="28"/>
      <c r="C276" s="28"/>
      <c r="D276" s="29"/>
      <c r="E276" s="29"/>
      <c r="F276" s="28"/>
      <c r="G276" s="28"/>
      <c r="H276" s="28"/>
      <c r="I276" s="28"/>
      <c r="J276" s="28"/>
      <c r="K276" s="28"/>
      <c r="L276" s="28"/>
      <c r="M276" s="28"/>
      <c r="N276" s="28"/>
      <c r="O276" s="28"/>
      <c r="P276" s="28"/>
      <c r="Q276" s="28"/>
      <c r="R276" s="28"/>
      <c r="S276" s="28"/>
      <c r="T276" s="28"/>
      <c r="U276" s="7"/>
      <c r="V276" s="28"/>
      <c r="W276" s="28"/>
      <c r="X276" s="2"/>
      <c r="Y276" s="2"/>
      <c r="Z276" s="2"/>
    </row>
    <row r="277" spans="1:26" ht="19.5" customHeight="1">
      <c r="A277" s="28"/>
      <c r="B277" s="28"/>
      <c r="C277" s="28"/>
      <c r="D277" s="29"/>
      <c r="E277" s="29"/>
      <c r="F277" s="28"/>
      <c r="G277" s="28"/>
      <c r="H277" s="28"/>
      <c r="I277" s="28"/>
      <c r="J277" s="28"/>
      <c r="K277" s="28"/>
      <c r="L277" s="28"/>
      <c r="M277" s="28"/>
      <c r="N277" s="28"/>
      <c r="O277" s="28"/>
      <c r="P277" s="28"/>
      <c r="Q277" s="28"/>
      <c r="R277" s="28"/>
      <c r="S277" s="28"/>
      <c r="T277" s="28"/>
      <c r="U277" s="7"/>
      <c r="V277" s="28"/>
      <c r="W277" s="28"/>
      <c r="X277" s="2"/>
      <c r="Y277" s="2"/>
      <c r="Z277" s="2"/>
    </row>
    <row r="278" spans="1:26" ht="19.5" customHeight="1">
      <c r="A278" s="28"/>
      <c r="B278" s="28"/>
      <c r="C278" s="28"/>
      <c r="D278" s="29"/>
      <c r="E278" s="29"/>
      <c r="F278" s="28"/>
      <c r="G278" s="28"/>
      <c r="H278" s="28"/>
      <c r="I278" s="28"/>
      <c r="J278" s="28"/>
      <c r="K278" s="28"/>
      <c r="L278" s="28"/>
      <c r="M278" s="28"/>
      <c r="N278" s="28"/>
      <c r="O278" s="28"/>
      <c r="P278" s="28"/>
      <c r="Q278" s="28"/>
      <c r="R278" s="28"/>
      <c r="S278" s="28"/>
      <c r="T278" s="28"/>
      <c r="U278" s="7"/>
      <c r="V278" s="28"/>
      <c r="W278" s="28"/>
      <c r="X278" s="2"/>
      <c r="Y278" s="2"/>
      <c r="Z278" s="2"/>
    </row>
    <row r="279" spans="1:26" ht="19.5" customHeight="1">
      <c r="A279" s="28"/>
      <c r="B279" s="28"/>
      <c r="C279" s="28"/>
      <c r="D279" s="29"/>
      <c r="E279" s="29"/>
      <c r="F279" s="28"/>
      <c r="G279" s="28"/>
      <c r="H279" s="28"/>
      <c r="I279" s="28"/>
      <c r="J279" s="28"/>
      <c r="K279" s="28"/>
      <c r="L279" s="28"/>
      <c r="M279" s="28"/>
      <c r="N279" s="28"/>
      <c r="O279" s="28"/>
      <c r="P279" s="28"/>
      <c r="Q279" s="28"/>
      <c r="R279" s="28"/>
      <c r="S279" s="28"/>
      <c r="T279" s="28"/>
      <c r="U279" s="7"/>
      <c r="V279" s="28"/>
      <c r="W279" s="28"/>
      <c r="X279" s="2"/>
      <c r="Y279" s="2"/>
      <c r="Z279" s="2"/>
    </row>
    <row r="280" spans="1:26" ht="19.5" customHeight="1">
      <c r="A280" s="28"/>
      <c r="B280" s="28"/>
      <c r="C280" s="28"/>
      <c r="D280" s="29"/>
      <c r="E280" s="29"/>
      <c r="F280" s="28"/>
      <c r="G280" s="28"/>
      <c r="H280" s="28"/>
      <c r="I280" s="28"/>
      <c r="J280" s="28"/>
      <c r="K280" s="28"/>
      <c r="L280" s="28"/>
      <c r="M280" s="28"/>
      <c r="N280" s="28"/>
      <c r="O280" s="28"/>
      <c r="P280" s="28"/>
      <c r="Q280" s="28"/>
      <c r="R280" s="28"/>
      <c r="S280" s="28"/>
      <c r="T280" s="28"/>
      <c r="U280" s="7"/>
      <c r="V280" s="28"/>
      <c r="W280" s="28"/>
      <c r="X280" s="2"/>
      <c r="Y280" s="2"/>
      <c r="Z280" s="2"/>
    </row>
    <row r="281" spans="1:26" ht="19.5" customHeight="1">
      <c r="A281" s="28"/>
      <c r="B281" s="28"/>
      <c r="C281" s="28"/>
      <c r="D281" s="29"/>
      <c r="E281" s="29"/>
      <c r="F281" s="28"/>
      <c r="G281" s="28"/>
      <c r="H281" s="28"/>
      <c r="I281" s="28"/>
      <c r="J281" s="28"/>
      <c r="K281" s="28"/>
      <c r="L281" s="28"/>
      <c r="M281" s="28"/>
      <c r="N281" s="28"/>
      <c r="O281" s="28"/>
      <c r="P281" s="28"/>
      <c r="Q281" s="28"/>
      <c r="R281" s="28"/>
      <c r="S281" s="28"/>
      <c r="T281" s="28"/>
      <c r="U281" s="7"/>
      <c r="V281" s="28"/>
      <c r="W281" s="28"/>
      <c r="X281" s="2"/>
      <c r="Y281" s="2"/>
      <c r="Z281" s="2"/>
    </row>
    <row r="282" spans="1:26" ht="19.5" customHeight="1">
      <c r="A282" s="28"/>
      <c r="B282" s="28"/>
      <c r="C282" s="28"/>
      <c r="D282" s="29"/>
      <c r="E282" s="29"/>
      <c r="F282" s="28"/>
      <c r="G282" s="28"/>
      <c r="H282" s="28"/>
      <c r="I282" s="28"/>
      <c r="J282" s="28"/>
      <c r="K282" s="28"/>
      <c r="L282" s="28"/>
      <c r="M282" s="28"/>
      <c r="N282" s="28"/>
      <c r="O282" s="28"/>
      <c r="P282" s="28"/>
      <c r="Q282" s="28"/>
      <c r="R282" s="28"/>
      <c r="S282" s="28"/>
      <c r="T282" s="28"/>
      <c r="U282" s="7"/>
      <c r="V282" s="28"/>
      <c r="W282" s="28"/>
      <c r="X282" s="2"/>
      <c r="Y282" s="2"/>
      <c r="Z282" s="2"/>
    </row>
    <row r="283" spans="1:26" ht="19.5" customHeight="1">
      <c r="A283" s="28"/>
      <c r="B283" s="28"/>
      <c r="C283" s="28"/>
      <c r="D283" s="29"/>
      <c r="E283" s="29"/>
      <c r="F283" s="28"/>
      <c r="G283" s="28"/>
      <c r="H283" s="28"/>
      <c r="I283" s="28"/>
      <c r="J283" s="28"/>
      <c r="K283" s="28"/>
      <c r="L283" s="28"/>
      <c r="M283" s="28"/>
      <c r="N283" s="28"/>
      <c r="O283" s="28"/>
      <c r="P283" s="28"/>
      <c r="Q283" s="28"/>
      <c r="R283" s="28"/>
      <c r="S283" s="28"/>
      <c r="T283" s="28"/>
      <c r="U283" s="7"/>
      <c r="V283" s="28"/>
      <c r="W283" s="28"/>
      <c r="X283" s="2"/>
      <c r="Y283" s="2"/>
      <c r="Z283" s="2"/>
    </row>
    <row r="284" spans="1:26" ht="19.5" customHeight="1">
      <c r="A284" s="28"/>
      <c r="B284" s="28"/>
      <c r="C284" s="28"/>
      <c r="D284" s="29"/>
      <c r="E284" s="29"/>
      <c r="F284" s="28"/>
      <c r="G284" s="28"/>
      <c r="H284" s="28"/>
      <c r="I284" s="28"/>
      <c r="J284" s="28"/>
      <c r="K284" s="28"/>
      <c r="L284" s="28"/>
      <c r="M284" s="28"/>
      <c r="N284" s="28"/>
      <c r="O284" s="28"/>
      <c r="P284" s="28"/>
      <c r="Q284" s="28"/>
      <c r="R284" s="28"/>
      <c r="S284" s="28"/>
      <c r="T284" s="28"/>
      <c r="U284" s="7"/>
      <c r="V284" s="28"/>
      <c r="W284" s="28"/>
      <c r="X284" s="2"/>
      <c r="Y284" s="2"/>
      <c r="Z284" s="2"/>
    </row>
    <row r="285" spans="1:26" ht="19.5" customHeight="1">
      <c r="A285" s="28"/>
      <c r="B285" s="28"/>
      <c r="C285" s="28"/>
      <c r="D285" s="29"/>
      <c r="E285" s="29"/>
      <c r="F285" s="28"/>
      <c r="G285" s="28"/>
      <c r="H285" s="28"/>
      <c r="I285" s="28"/>
      <c r="J285" s="28"/>
      <c r="K285" s="28"/>
      <c r="L285" s="28"/>
      <c r="M285" s="28"/>
      <c r="N285" s="28"/>
      <c r="O285" s="28"/>
      <c r="P285" s="28"/>
      <c r="Q285" s="28"/>
      <c r="R285" s="28"/>
      <c r="S285" s="28"/>
      <c r="T285" s="28"/>
      <c r="U285" s="7"/>
      <c r="V285" s="28"/>
      <c r="W285" s="28"/>
      <c r="X285" s="2"/>
      <c r="Y285" s="2"/>
      <c r="Z285" s="2"/>
    </row>
    <row r="286" spans="1:26" ht="19.5" customHeight="1">
      <c r="A286" s="28"/>
      <c r="B286" s="28"/>
      <c r="C286" s="28"/>
      <c r="D286" s="29"/>
      <c r="E286" s="29"/>
      <c r="F286" s="28"/>
      <c r="G286" s="28"/>
      <c r="H286" s="28"/>
      <c r="I286" s="28"/>
      <c r="J286" s="28"/>
      <c r="K286" s="28"/>
      <c r="L286" s="28"/>
      <c r="M286" s="28"/>
      <c r="N286" s="28"/>
      <c r="O286" s="28"/>
      <c r="P286" s="28"/>
      <c r="Q286" s="28"/>
      <c r="R286" s="28"/>
      <c r="S286" s="28"/>
      <c r="T286" s="28"/>
      <c r="U286" s="7"/>
      <c r="V286" s="28"/>
      <c r="W286" s="28"/>
      <c r="X286" s="2"/>
      <c r="Y286" s="2"/>
      <c r="Z286" s="2"/>
    </row>
    <row r="287" spans="1:26" ht="19.5" customHeight="1">
      <c r="A287" s="28"/>
      <c r="B287" s="28"/>
      <c r="C287" s="28"/>
      <c r="D287" s="29"/>
      <c r="E287" s="29"/>
      <c r="F287" s="28"/>
      <c r="G287" s="28"/>
      <c r="H287" s="28"/>
      <c r="I287" s="28"/>
      <c r="J287" s="28"/>
      <c r="K287" s="28"/>
      <c r="L287" s="28"/>
      <c r="M287" s="28"/>
      <c r="N287" s="28"/>
      <c r="O287" s="28"/>
      <c r="P287" s="28"/>
      <c r="Q287" s="28"/>
      <c r="R287" s="28"/>
      <c r="S287" s="28"/>
      <c r="T287" s="28"/>
      <c r="U287" s="7"/>
      <c r="V287" s="28"/>
      <c r="W287" s="28"/>
      <c r="X287" s="2"/>
      <c r="Y287" s="2"/>
      <c r="Z287" s="2"/>
    </row>
    <row r="288" spans="1:26" ht="19.5" customHeight="1">
      <c r="A288" s="28"/>
      <c r="B288" s="28"/>
      <c r="C288" s="28"/>
      <c r="D288" s="29"/>
      <c r="E288" s="29"/>
      <c r="F288" s="28"/>
      <c r="G288" s="28"/>
      <c r="H288" s="28"/>
      <c r="I288" s="28"/>
      <c r="J288" s="28"/>
      <c r="K288" s="28"/>
      <c r="L288" s="28"/>
      <c r="M288" s="28"/>
      <c r="N288" s="28"/>
      <c r="O288" s="28"/>
      <c r="P288" s="28"/>
      <c r="Q288" s="28"/>
      <c r="R288" s="28"/>
      <c r="S288" s="28"/>
      <c r="T288" s="28"/>
      <c r="U288" s="7"/>
      <c r="V288" s="28"/>
      <c r="W288" s="28"/>
      <c r="X288" s="2"/>
      <c r="Y288" s="2"/>
      <c r="Z288" s="2"/>
    </row>
    <row r="289" spans="1:26" ht="19.5" customHeight="1">
      <c r="A289" s="28"/>
      <c r="B289" s="28"/>
      <c r="C289" s="28"/>
      <c r="D289" s="29"/>
      <c r="E289" s="29"/>
      <c r="F289" s="28"/>
      <c r="G289" s="28"/>
      <c r="H289" s="28"/>
      <c r="I289" s="28"/>
      <c r="J289" s="28"/>
      <c r="K289" s="28"/>
      <c r="L289" s="28"/>
      <c r="M289" s="28"/>
      <c r="N289" s="28"/>
      <c r="O289" s="28"/>
      <c r="P289" s="28"/>
      <c r="Q289" s="28"/>
      <c r="R289" s="28"/>
      <c r="S289" s="28"/>
      <c r="T289" s="28"/>
      <c r="U289" s="7"/>
      <c r="V289" s="28"/>
      <c r="W289" s="28"/>
      <c r="X289" s="2"/>
      <c r="Y289" s="2"/>
      <c r="Z289" s="2"/>
    </row>
    <row r="290" spans="1:26" ht="19.5" customHeight="1">
      <c r="A290" s="28"/>
      <c r="B290" s="28"/>
      <c r="C290" s="28"/>
      <c r="D290" s="29"/>
      <c r="E290" s="29"/>
      <c r="F290" s="28"/>
      <c r="G290" s="28"/>
      <c r="H290" s="28"/>
      <c r="I290" s="28"/>
      <c r="J290" s="28"/>
      <c r="K290" s="28"/>
      <c r="L290" s="28"/>
      <c r="M290" s="28"/>
      <c r="N290" s="28"/>
      <c r="O290" s="28"/>
      <c r="P290" s="28"/>
      <c r="Q290" s="28"/>
      <c r="R290" s="28"/>
      <c r="S290" s="28"/>
      <c r="T290" s="28"/>
      <c r="U290" s="7"/>
      <c r="V290" s="28"/>
      <c r="W290" s="28"/>
      <c r="X290" s="2"/>
      <c r="Y290" s="2"/>
      <c r="Z290" s="2"/>
    </row>
    <row r="291" spans="1:26" ht="19.5" customHeight="1">
      <c r="A291" s="28"/>
      <c r="B291" s="28"/>
      <c r="C291" s="28"/>
      <c r="D291" s="29"/>
      <c r="E291" s="29"/>
      <c r="F291" s="28"/>
      <c r="G291" s="28"/>
      <c r="H291" s="28"/>
      <c r="I291" s="28"/>
      <c r="J291" s="28"/>
      <c r="K291" s="28"/>
      <c r="L291" s="28"/>
      <c r="M291" s="28"/>
      <c r="N291" s="28"/>
      <c r="O291" s="28"/>
      <c r="P291" s="28"/>
      <c r="Q291" s="28"/>
      <c r="R291" s="28"/>
      <c r="S291" s="28"/>
      <c r="T291" s="28"/>
      <c r="U291" s="7"/>
      <c r="V291" s="28"/>
      <c r="W291" s="28"/>
      <c r="X291" s="2"/>
      <c r="Y291" s="2"/>
      <c r="Z291" s="2"/>
    </row>
    <row r="292" spans="1:26" ht="19.5" customHeight="1">
      <c r="A292" s="28"/>
      <c r="B292" s="28"/>
      <c r="C292" s="28"/>
      <c r="D292" s="29"/>
      <c r="E292" s="29"/>
      <c r="F292" s="28"/>
      <c r="G292" s="28"/>
      <c r="H292" s="28"/>
      <c r="I292" s="28"/>
      <c r="J292" s="28"/>
      <c r="K292" s="28"/>
      <c r="L292" s="28"/>
      <c r="M292" s="28"/>
      <c r="N292" s="28"/>
      <c r="O292" s="28"/>
      <c r="P292" s="28"/>
      <c r="Q292" s="28"/>
      <c r="R292" s="28"/>
      <c r="S292" s="28"/>
      <c r="T292" s="28"/>
      <c r="U292" s="7"/>
      <c r="V292" s="28"/>
      <c r="W292" s="28"/>
      <c r="X292" s="2"/>
      <c r="Y292" s="2"/>
      <c r="Z292" s="2"/>
    </row>
    <row r="293" spans="1:26" ht="19.5" customHeight="1">
      <c r="A293" s="28"/>
      <c r="B293" s="28"/>
      <c r="C293" s="28"/>
      <c r="D293" s="29"/>
      <c r="E293" s="29"/>
      <c r="F293" s="28"/>
      <c r="G293" s="28"/>
      <c r="H293" s="28"/>
      <c r="I293" s="28"/>
      <c r="J293" s="28"/>
      <c r="K293" s="28"/>
      <c r="L293" s="28"/>
      <c r="M293" s="28"/>
      <c r="N293" s="28"/>
      <c r="O293" s="28"/>
      <c r="P293" s="28"/>
      <c r="Q293" s="28"/>
      <c r="R293" s="28"/>
      <c r="S293" s="28"/>
      <c r="T293" s="28"/>
      <c r="U293" s="7"/>
      <c r="V293" s="28"/>
      <c r="W293" s="28"/>
      <c r="X293" s="2"/>
      <c r="Y293" s="2"/>
      <c r="Z293" s="2"/>
    </row>
    <row r="294" spans="1:26" ht="19.5" customHeight="1">
      <c r="A294" s="28"/>
      <c r="B294" s="28"/>
      <c r="C294" s="28"/>
      <c r="D294" s="29"/>
      <c r="E294" s="29"/>
      <c r="F294" s="28"/>
      <c r="G294" s="28"/>
      <c r="H294" s="28"/>
      <c r="I294" s="28"/>
      <c r="J294" s="28"/>
      <c r="K294" s="28"/>
      <c r="L294" s="28"/>
      <c r="M294" s="28"/>
      <c r="N294" s="28"/>
      <c r="O294" s="28"/>
      <c r="P294" s="28"/>
      <c r="Q294" s="28"/>
      <c r="R294" s="28"/>
      <c r="S294" s="28"/>
      <c r="T294" s="28"/>
      <c r="U294" s="7"/>
      <c r="V294" s="28"/>
      <c r="W294" s="28"/>
      <c r="X294" s="2"/>
      <c r="Y294" s="2"/>
      <c r="Z294" s="2"/>
    </row>
    <row r="295" spans="1:26" ht="19.5" customHeight="1">
      <c r="A295" s="28"/>
      <c r="B295" s="28"/>
      <c r="C295" s="28"/>
      <c r="D295" s="29"/>
      <c r="E295" s="29"/>
      <c r="F295" s="28"/>
      <c r="G295" s="28"/>
      <c r="H295" s="28"/>
      <c r="I295" s="28"/>
      <c r="J295" s="28"/>
      <c r="K295" s="28"/>
      <c r="L295" s="28"/>
      <c r="M295" s="28"/>
      <c r="N295" s="28"/>
      <c r="O295" s="28"/>
      <c r="P295" s="28"/>
      <c r="Q295" s="28"/>
      <c r="R295" s="28"/>
      <c r="S295" s="28"/>
      <c r="T295" s="28"/>
      <c r="U295" s="7"/>
      <c r="V295" s="28"/>
      <c r="W295" s="28"/>
      <c r="X295" s="2"/>
      <c r="Y295" s="2"/>
      <c r="Z295" s="2"/>
    </row>
    <row r="296" spans="1:26" ht="19.5" customHeight="1">
      <c r="A296" s="28"/>
      <c r="B296" s="28"/>
      <c r="C296" s="28"/>
      <c r="D296" s="29"/>
      <c r="E296" s="29"/>
      <c r="F296" s="28"/>
      <c r="G296" s="28"/>
      <c r="H296" s="28"/>
      <c r="I296" s="28"/>
      <c r="J296" s="28"/>
      <c r="K296" s="28"/>
      <c r="L296" s="28"/>
      <c r="M296" s="28"/>
      <c r="N296" s="28"/>
      <c r="O296" s="28"/>
      <c r="P296" s="28"/>
      <c r="Q296" s="28"/>
      <c r="R296" s="28"/>
      <c r="S296" s="28"/>
      <c r="T296" s="28"/>
      <c r="U296" s="7"/>
      <c r="V296" s="28"/>
      <c r="W296" s="28"/>
      <c r="X296" s="2"/>
      <c r="Y296" s="2"/>
      <c r="Z296" s="2"/>
    </row>
    <row r="297" spans="1:26" ht="19.5" customHeight="1">
      <c r="A297" s="28"/>
      <c r="B297" s="28"/>
      <c r="C297" s="28"/>
      <c r="D297" s="29"/>
      <c r="E297" s="29"/>
      <c r="F297" s="28"/>
      <c r="G297" s="28"/>
      <c r="H297" s="28"/>
      <c r="I297" s="28"/>
      <c r="J297" s="28"/>
      <c r="K297" s="28"/>
      <c r="L297" s="28"/>
      <c r="M297" s="28"/>
      <c r="N297" s="28"/>
      <c r="O297" s="28"/>
      <c r="P297" s="28"/>
      <c r="Q297" s="28"/>
      <c r="R297" s="28"/>
      <c r="S297" s="28"/>
      <c r="T297" s="28"/>
      <c r="U297" s="7"/>
      <c r="V297" s="28"/>
      <c r="W297" s="28"/>
      <c r="X297" s="2"/>
      <c r="Y297" s="2"/>
      <c r="Z297" s="2"/>
    </row>
    <row r="298" spans="1:26" ht="19.5" customHeight="1">
      <c r="A298" s="28"/>
      <c r="B298" s="28"/>
      <c r="C298" s="28"/>
      <c r="D298" s="29"/>
      <c r="E298" s="29"/>
      <c r="F298" s="28"/>
      <c r="G298" s="28"/>
      <c r="H298" s="28"/>
      <c r="I298" s="28"/>
      <c r="J298" s="28"/>
      <c r="K298" s="28"/>
      <c r="L298" s="28"/>
      <c r="M298" s="28"/>
      <c r="N298" s="28"/>
      <c r="O298" s="28"/>
      <c r="P298" s="28"/>
      <c r="Q298" s="28"/>
      <c r="R298" s="28"/>
      <c r="S298" s="28"/>
      <c r="T298" s="28"/>
      <c r="U298" s="7"/>
      <c r="V298" s="28"/>
      <c r="W298" s="28"/>
      <c r="X298" s="2"/>
      <c r="Y298" s="2"/>
      <c r="Z298" s="2"/>
    </row>
    <row r="299" spans="1:26" ht="19.5" customHeight="1">
      <c r="A299" s="28"/>
      <c r="B299" s="28"/>
      <c r="C299" s="28"/>
      <c r="D299" s="29"/>
      <c r="E299" s="29"/>
      <c r="F299" s="28"/>
      <c r="G299" s="28"/>
      <c r="H299" s="28"/>
      <c r="I299" s="28"/>
      <c r="J299" s="28"/>
      <c r="K299" s="28"/>
      <c r="L299" s="28"/>
      <c r="M299" s="28"/>
      <c r="N299" s="28"/>
      <c r="O299" s="28"/>
      <c r="P299" s="28"/>
      <c r="Q299" s="28"/>
      <c r="R299" s="28"/>
      <c r="S299" s="28"/>
      <c r="T299" s="28"/>
      <c r="U299" s="7"/>
      <c r="V299" s="28"/>
      <c r="W299" s="28"/>
      <c r="X299" s="2"/>
      <c r="Y299" s="2"/>
      <c r="Z299" s="2"/>
    </row>
    <row r="300" spans="1:26" ht="19.5" customHeight="1">
      <c r="A300" s="28"/>
      <c r="B300" s="28"/>
      <c r="C300" s="28"/>
      <c r="D300" s="29"/>
      <c r="E300" s="29"/>
      <c r="F300" s="28"/>
      <c r="G300" s="28"/>
      <c r="H300" s="28"/>
      <c r="I300" s="28"/>
      <c r="J300" s="28"/>
      <c r="K300" s="28"/>
      <c r="L300" s="28"/>
      <c r="M300" s="28"/>
      <c r="N300" s="28"/>
      <c r="O300" s="28"/>
      <c r="P300" s="28"/>
      <c r="Q300" s="28"/>
      <c r="R300" s="28"/>
      <c r="S300" s="28"/>
      <c r="T300" s="28"/>
      <c r="U300" s="7"/>
      <c r="V300" s="28"/>
      <c r="W300" s="28"/>
      <c r="X300" s="2"/>
      <c r="Y300" s="2"/>
      <c r="Z300" s="2"/>
    </row>
    <row r="301" spans="1:26" ht="19.5" customHeight="1">
      <c r="A301" s="28"/>
      <c r="B301" s="28"/>
      <c r="C301" s="28"/>
      <c r="D301" s="29"/>
      <c r="E301" s="29"/>
      <c r="F301" s="28"/>
      <c r="G301" s="28"/>
      <c r="H301" s="28"/>
      <c r="I301" s="28"/>
      <c r="J301" s="28"/>
      <c r="K301" s="28"/>
      <c r="L301" s="28"/>
      <c r="M301" s="28"/>
      <c r="N301" s="28"/>
      <c r="O301" s="28"/>
      <c r="P301" s="28"/>
      <c r="Q301" s="28"/>
      <c r="R301" s="28"/>
      <c r="S301" s="28"/>
      <c r="T301" s="28"/>
      <c r="U301" s="7"/>
      <c r="V301" s="28"/>
      <c r="W301" s="28"/>
      <c r="X301" s="2"/>
      <c r="Y301" s="2"/>
      <c r="Z301" s="2"/>
    </row>
    <row r="302" spans="1:26" ht="19.5" customHeight="1">
      <c r="A302" s="28"/>
      <c r="B302" s="28"/>
      <c r="C302" s="28"/>
      <c r="D302" s="29"/>
      <c r="E302" s="29"/>
      <c r="F302" s="28"/>
      <c r="G302" s="28"/>
      <c r="H302" s="28"/>
      <c r="I302" s="28"/>
      <c r="J302" s="28"/>
      <c r="K302" s="28"/>
      <c r="L302" s="28"/>
      <c r="M302" s="28"/>
      <c r="N302" s="28"/>
      <c r="O302" s="28"/>
      <c r="P302" s="28"/>
      <c r="Q302" s="28"/>
      <c r="R302" s="28"/>
      <c r="S302" s="28"/>
      <c r="T302" s="28"/>
      <c r="U302" s="7"/>
      <c r="V302" s="28"/>
      <c r="W302" s="28"/>
      <c r="X302" s="2"/>
      <c r="Y302" s="2"/>
      <c r="Z302" s="2"/>
    </row>
    <row r="303" spans="1:26" ht="19.5" customHeight="1">
      <c r="A303" s="28"/>
      <c r="B303" s="28"/>
      <c r="C303" s="28"/>
      <c r="D303" s="29"/>
      <c r="E303" s="29"/>
      <c r="F303" s="28"/>
      <c r="G303" s="28"/>
      <c r="H303" s="28"/>
      <c r="I303" s="28"/>
      <c r="J303" s="28"/>
      <c r="K303" s="28"/>
      <c r="L303" s="28"/>
      <c r="M303" s="28"/>
      <c r="N303" s="28"/>
      <c r="O303" s="28"/>
      <c r="P303" s="28"/>
      <c r="Q303" s="28"/>
      <c r="R303" s="28"/>
      <c r="S303" s="28"/>
      <c r="T303" s="28"/>
      <c r="U303" s="7"/>
      <c r="V303" s="28"/>
      <c r="W303" s="28"/>
      <c r="X303" s="2"/>
      <c r="Y303" s="2"/>
      <c r="Z303" s="2"/>
    </row>
    <row r="304" spans="1:26" ht="19.5" customHeight="1">
      <c r="A304" s="28"/>
      <c r="B304" s="28"/>
      <c r="C304" s="28"/>
      <c r="D304" s="29"/>
      <c r="E304" s="29"/>
      <c r="F304" s="28"/>
      <c r="G304" s="28"/>
      <c r="H304" s="28"/>
      <c r="I304" s="28"/>
      <c r="J304" s="28"/>
      <c r="K304" s="28"/>
      <c r="L304" s="28"/>
      <c r="M304" s="28"/>
      <c r="N304" s="28"/>
      <c r="O304" s="28"/>
      <c r="P304" s="28"/>
      <c r="Q304" s="28"/>
      <c r="R304" s="28"/>
      <c r="S304" s="28"/>
      <c r="T304" s="28"/>
      <c r="U304" s="7"/>
      <c r="V304" s="28"/>
      <c r="W304" s="28"/>
      <c r="X304" s="2"/>
      <c r="Y304" s="2"/>
      <c r="Z304" s="2"/>
    </row>
    <row r="305" spans="1:26" ht="19.5" customHeight="1">
      <c r="A305" s="28"/>
      <c r="B305" s="28"/>
      <c r="C305" s="28"/>
      <c r="D305" s="29"/>
      <c r="E305" s="29"/>
      <c r="F305" s="28"/>
      <c r="G305" s="28"/>
      <c r="H305" s="28"/>
      <c r="I305" s="28"/>
      <c r="J305" s="28"/>
      <c r="K305" s="28"/>
      <c r="L305" s="28"/>
      <c r="M305" s="28"/>
      <c r="N305" s="28"/>
      <c r="O305" s="28"/>
      <c r="P305" s="28"/>
      <c r="Q305" s="28"/>
      <c r="R305" s="28"/>
      <c r="S305" s="28"/>
      <c r="T305" s="28"/>
      <c r="U305" s="7"/>
      <c r="V305" s="28"/>
      <c r="W305" s="28"/>
      <c r="X305" s="2"/>
      <c r="Y305" s="2"/>
      <c r="Z305" s="2"/>
    </row>
    <row r="306" spans="1:26" ht="19.5" customHeight="1">
      <c r="A306" s="28"/>
      <c r="B306" s="28"/>
      <c r="C306" s="28"/>
      <c r="D306" s="29"/>
      <c r="E306" s="29"/>
      <c r="F306" s="28"/>
      <c r="G306" s="28"/>
      <c r="H306" s="28"/>
      <c r="I306" s="28"/>
      <c r="J306" s="28"/>
      <c r="K306" s="28"/>
      <c r="L306" s="28"/>
      <c r="M306" s="28"/>
      <c r="N306" s="28"/>
      <c r="O306" s="28"/>
      <c r="P306" s="28"/>
      <c r="Q306" s="28"/>
      <c r="R306" s="28"/>
      <c r="S306" s="28"/>
      <c r="T306" s="28"/>
      <c r="U306" s="7"/>
      <c r="V306" s="28"/>
      <c r="W306" s="28"/>
      <c r="X306" s="2"/>
      <c r="Y306" s="2"/>
      <c r="Z306" s="2"/>
    </row>
    <row r="307" spans="1:26" ht="19.5" customHeight="1">
      <c r="A307" s="28"/>
      <c r="B307" s="28"/>
      <c r="C307" s="28"/>
      <c r="D307" s="29"/>
      <c r="E307" s="29"/>
      <c r="F307" s="28"/>
      <c r="G307" s="28"/>
      <c r="H307" s="28"/>
      <c r="I307" s="28"/>
      <c r="J307" s="28"/>
      <c r="K307" s="28"/>
      <c r="L307" s="28"/>
      <c r="M307" s="28"/>
      <c r="N307" s="28"/>
      <c r="O307" s="28"/>
      <c r="P307" s="28"/>
      <c r="Q307" s="28"/>
      <c r="R307" s="28"/>
      <c r="S307" s="28"/>
      <c r="T307" s="28"/>
      <c r="U307" s="7"/>
      <c r="V307" s="28"/>
      <c r="W307" s="28"/>
      <c r="X307" s="2"/>
      <c r="Y307" s="2"/>
      <c r="Z307" s="2"/>
    </row>
    <row r="308" spans="1:26" ht="19.5" customHeight="1">
      <c r="A308" s="28"/>
      <c r="B308" s="28"/>
      <c r="C308" s="28"/>
      <c r="D308" s="29"/>
      <c r="E308" s="29"/>
      <c r="F308" s="28"/>
      <c r="G308" s="28"/>
      <c r="H308" s="28"/>
      <c r="I308" s="28"/>
      <c r="J308" s="28"/>
      <c r="K308" s="28"/>
      <c r="L308" s="28"/>
      <c r="M308" s="28"/>
      <c r="N308" s="28"/>
      <c r="O308" s="28"/>
      <c r="P308" s="28"/>
      <c r="Q308" s="28"/>
      <c r="R308" s="28"/>
      <c r="S308" s="28"/>
      <c r="T308" s="28"/>
      <c r="U308" s="7"/>
      <c r="V308" s="28"/>
      <c r="W308" s="28"/>
      <c r="X308" s="2"/>
      <c r="Y308" s="2"/>
      <c r="Z308" s="2"/>
    </row>
    <row r="309" spans="1:26" ht="19.5" customHeight="1">
      <c r="A309" s="28"/>
      <c r="B309" s="28"/>
      <c r="C309" s="28"/>
      <c r="D309" s="29"/>
      <c r="E309" s="29"/>
      <c r="F309" s="28"/>
      <c r="G309" s="28"/>
      <c r="H309" s="28"/>
      <c r="I309" s="28"/>
      <c r="J309" s="28"/>
      <c r="K309" s="28"/>
      <c r="L309" s="28"/>
      <c r="M309" s="28"/>
      <c r="N309" s="28"/>
      <c r="O309" s="28"/>
      <c r="P309" s="28"/>
      <c r="Q309" s="28"/>
      <c r="R309" s="28"/>
      <c r="S309" s="28"/>
      <c r="T309" s="28"/>
      <c r="U309" s="7"/>
      <c r="V309" s="28"/>
      <c r="W309" s="28"/>
      <c r="X309" s="2"/>
      <c r="Y309" s="2"/>
      <c r="Z309" s="2"/>
    </row>
    <row r="310" spans="1:26" ht="19.5" customHeight="1">
      <c r="A310" s="28"/>
      <c r="B310" s="28"/>
      <c r="C310" s="28"/>
      <c r="D310" s="29"/>
      <c r="E310" s="29"/>
      <c r="F310" s="28"/>
      <c r="G310" s="28"/>
      <c r="H310" s="28"/>
      <c r="I310" s="28"/>
      <c r="J310" s="28"/>
      <c r="K310" s="28"/>
      <c r="L310" s="28"/>
      <c r="M310" s="28"/>
      <c r="N310" s="28"/>
      <c r="O310" s="28"/>
      <c r="P310" s="28"/>
      <c r="Q310" s="28"/>
      <c r="R310" s="28"/>
      <c r="S310" s="28"/>
      <c r="T310" s="28"/>
      <c r="U310" s="7"/>
      <c r="V310" s="28"/>
      <c r="W310" s="28"/>
      <c r="X310" s="2"/>
      <c r="Y310" s="2"/>
      <c r="Z310" s="2"/>
    </row>
    <row r="311" spans="1:26" ht="19.5" customHeight="1">
      <c r="A311" s="28"/>
      <c r="B311" s="28"/>
      <c r="C311" s="28"/>
      <c r="D311" s="29"/>
      <c r="E311" s="29"/>
      <c r="F311" s="28"/>
      <c r="G311" s="28"/>
      <c r="H311" s="28"/>
      <c r="I311" s="28"/>
      <c r="J311" s="28"/>
      <c r="K311" s="28"/>
      <c r="L311" s="28"/>
      <c r="M311" s="28"/>
      <c r="N311" s="28"/>
      <c r="O311" s="28"/>
      <c r="P311" s="28"/>
      <c r="Q311" s="28"/>
      <c r="R311" s="28"/>
      <c r="S311" s="28"/>
      <c r="T311" s="28"/>
      <c r="U311" s="7"/>
      <c r="V311" s="28"/>
      <c r="W311" s="28"/>
      <c r="X311" s="2"/>
      <c r="Y311" s="2"/>
      <c r="Z311" s="2"/>
    </row>
    <row r="312" spans="1:26" ht="19.5" customHeight="1">
      <c r="A312" s="28"/>
      <c r="B312" s="28"/>
      <c r="C312" s="28"/>
      <c r="D312" s="29"/>
      <c r="E312" s="29"/>
      <c r="F312" s="28"/>
      <c r="G312" s="28"/>
      <c r="H312" s="28"/>
      <c r="I312" s="28"/>
      <c r="J312" s="28"/>
      <c r="K312" s="28"/>
      <c r="L312" s="28"/>
      <c r="M312" s="28"/>
      <c r="N312" s="28"/>
      <c r="O312" s="28"/>
      <c r="P312" s="28"/>
      <c r="Q312" s="28"/>
      <c r="R312" s="28"/>
      <c r="S312" s="28"/>
      <c r="T312" s="28"/>
      <c r="U312" s="7"/>
      <c r="V312" s="28"/>
      <c r="W312" s="28"/>
      <c r="X312" s="2"/>
      <c r="Y312" s="2"/>
      <c r="Z312" s="2"/>
    </row>
    <row r="313" spans="1:26" ht="19.5" customHeight="1">
      <c r="A313" s="28"/>
      <c r="B313" s="28"/>
      <c r="C313" s="28"/>
      <c r="D313" s="29"/>
      <c r="E313" s="29"/>
      <c r="F313" s="28"/>
      <c r="G313" s="28"/>
      <c r="H313" s="28"/>
      <c r="I313" s="28"/>
      <c r="J313" s="28"/>
      <c r="K313" s="28"/>
      <c r="L313" s="28"/>
      <c r="M313" s="28"/>
      <c r="N313" s="28"/>
      <c r="O313" s="28"/>
      <c r="P313" s="28"/>
      <c r="Q313" s="28"/>
      <c r="R313" s="28"/>
      <c r="S313" s="28"/>
      <c r="T313" s="28"/>
      <c r="U313" s="7"/>
      <c r="V313" s="28"/>
      <c r="W313" s="28"/>
      <c r="X313" s="2"/>
      <c r="Y313" s="2"/>
      <c r="Z313" s="2"/>
    </row>
    <row r="314" spans="1:26" ht="19.5" customHeight="1">
      <c r="A314" s="28"/>
      <c r="B314" s="28"/>
      <c r="C314" s="28"/>
      <c r="D314" s="29"/>
      <c r="E314" s="29"/>
      <c r="F314" s="28"/>
      <c r="G314" s="28"/>
      <c r="H314" s="28"/>
      <c r="I314" s="28"/>
      <c r="J314" s="28"/>
      <c r="K314" s="28"/>
      <c r="L314" s="28"/>
      <c r="M314" s="28"/>
      <c r="N314" s="28"/>
      <c r="O314" s="28"/>
      <c r="P314" s="28"/>
      <c r="Q314" s="28"/>
      <c r="R314" s="28"/>
      <c r="S314" s="28"/>
      <c r="T314" s="28"/>
      <c r="U314" s="7"/>
      <c r="V314" s="28"/>
      <c r="W314" s="28"/>
      <c r="X314" s="2"/>
      <c r="Y314" s="2"/>
      <c r="Z314" s="2"/>
    </row>
    <row r="315" spans="1:26" ht="19.5" customHeight="1">
      <c r="A315" s="28"/>
      <c r="B315" s="28"/>
      <c r="C315" s="28"/>
      <c r="D315" s="29"/>
      <c r="E315" s="29"/>
      <c r="F315" s="28"/>
      <c r="G315" s="28"/>
      <c r="H315" s="28"/>
      <c r="I315" s="28"/>
      <c r="J315" s="28"/>
      <c r="K315" s="28"/>
      <c r="L315" s="28"/>
      <c r="M315" s="28"/>
      <c r="N315" s="28"/>
      <c r="O315" s="28"/>
      <c r="P315" s="28"/>
      <c r="Q315" s="28"/>
      <c r="R315" s="28"/>
      <c r="S315" s="28"/>
      <c r="T315" s="28"/>
      <c r="U315" s="7"/>
      <c r="V315" s="28"/>
      <c r="W315" s="28"/>
      <c r="X315" s="2"/>
      <c r="Y315" s="2"/>
      <c r="Z315" s="2"/>
    </row>
    <row r="316" spans="1:26" ht="19.5" customHeight="1">
      <c r="A316" s="28"/>
      <c r="B316" s="28"/>
      <c r="C316" s="28"/>
      <c r="D316" s="29"/>
      <c r="E316" s="29"/>
      <c r="F316" s="28"/>
      <c r="G316" s="28"/>
      <c r="H316" s="28"/>
      <c r="I316" s="28"/>
      <c r="J316" s="28"/>
      <c r="K316" s="28"/>
      <c r="L316" s="28"/>
      <c r="M316" s="28"/>
      <c r="N316" s="28"/>
      <c r="O316" s="28"/>
      <c r="P316" s="28"/>
      <c r="Q316" s="28"/>
      <c r="R316" s="28"/>
      <c r="S316" s="28"/>
      <c r="T316" s="28"/>
      <c r="U316" s="7"/>
      <c r="V316" s="28"/>
      <c r="W316" s="28"/>
      <c r="X316" s="2"/>
      <c r="Y316" s="2"/>
      <c r="Z316" s="2"/>
    </row>
    <row r="317" spans="1:26" ht="19.5" customHeight="1">
      <c r="A317" s="28"/>
      <c r="B317" s="28"/>
      <c r="C317" s="28"/>
      <c r="D317" s="29"/>
      <c r="E317" s="29"/>
      <c r="F317" s="28"/>
      <c r="G317" s="28"/>
      <c r="H317" s="28"/>
      <c r="I317" s="28"/>
      <c r="J317" s="28"/>
      <c r="K317" s="28"/>
      <c r="L317" s="28"/>
      <c r="M317" s="28"/>
      <c r="N317" s="28"/>
      <c r="O317" s="28"/>
      <c r="P317" s="28"/>
      <c r="Q317" s="28"/>
      <c r="R317" s="28"/>
      <c r="S317" s="28"/>
      <c r="T317" s="28"/>
      <c r="U317" s="7"/>
      <c r="V317" s="28"/>
      <c r="W317" s="28"/>
      <c r="X317" s="2"/>
      <c r="Y317" s="2"/>
      <c r="Z317" s="2"/>
    </row>
    <row r="318" spans="1:26" ht="19.5" customHeight="1">
      <c r="A318" s="28"/>
      <c r="B318" s="28"/>
      <c r="C318" s="28"/>
      <c r="D318" s="29"/>
      <c r="E318" s="29"/>
      <c r="F318" s="28"/>
      <c r="G318" s="28"/>
      <c r="H318" s="28"/>
      <c r="I318" s="28"/>
      <c r="J318" s="28"/>
      <c r="K318" s="28"/>
      <c r="L318" s="28"/>
      <c r="M318" s="28"/>
      <c r="N318" s="28"/>
      <c r="O318" s="28"/>
      <c r="P318" s="28"/>
      <c r="Q318" s="28"/>
      <c r="R318" s="28"/>
      <c r="S318" s="28"/>
      <c r="T318" s="28"/>
      <c r="U318" s="7"/>
      <c r="V318" s="28"/>
      <c r="W318" s="28"/>
      <c r="X318" s="2"/>
      <c r="Y318" s="2"/>
      <c r="Z318" s="2"/>
    </row>
    <row r="319" spans="1:26" ht="19.5" customHeight="1">
      <c r="A319" s="28"/>
      <c r="B319" s="28"/>
      <c r="C319" s="28"/>
      <c r="D319" s="29"/>
      <c r="E319" s="29"/>
      <c r="F319" s="28"/>
      <c r="G319" s="28"/>
      <c r="H319" s="28"/>
      <c r="I319" s="28"/>
      <c r="J319" s="28"/>
      <c r="K319" s="28"/>
      <c r="L319" s="28"/>
      <c r="M319" s="28"/>
      <c r="N319" s="28"/>
      <c r="O319" s="28"/>
      <c r="P319" s="28"/>
      <c r="Q319" s="28"/>
      <c r="R319" s="28"/>
      <c r="S319" s="28"/>
      <c r="T319" s="28"/>
      <c r="U319" s="7"/>
      <c r="V319" s="28"/>
      <c r="W319" s="28"/>
      <c r="X319" s="2"/>
      <c r="Y319" s="2"/>
      <c r="Z319" s="2"/>
    </row>
    <row r="320" spans="1:26" ht="19.5" customHeight="1">
      <c r="A320" s="28"/>
      <c r="B320" s="28"/>
      <c r="C320" s="28"/>
      <c r="D320" s="29"/>
      <c r="E320" s="29"/>
      <c r="F320" s="28"/>
      <c r="G320" s="28"/>
      <c r="H320" s="28"/>
      <c r="I320" s="28"/>
      <c r="J320" s="28"/>
      <c r="K320" s="28"/>
      <c r="L320" s="28"/>
      <c r="M320" s="28"/>
      <c r="N320" s="28"/>
      <c r="O320" s="28"/>
      <c r="P320" s="28"/>
      <c r="Q320" s="28"/>
      <c r="R320" s="28"/>
      <c r="S320" s="28"/>
      <c r="T320" s="28"/>
      <c r="U320" s="7"/>
      <c r="V320" s="28"/>
      <c r="W320" s="28"/>
      <c r="X320" s="2"/>
      <c r="Y320" s="2"/>
      <c r="Z320" s="2"/>
    </row>
    <row r="321" spans="1:26" ht="19.5" customHeight="1">
      <c r="A321" s="28"/>
      <c r="B321" s="28"/>
      <c r="C321" s="28"/>
      <c r="D321" s="29"/>
      <c r="E321" s="29"/>
      <c r="F321" s="28"/>
      <c r="G321" s="28"/>
      <c r="H321" s="28"/>
      <c r="I321" s="28"/>
      <c r="J321" s="28"/>
      <c r="K321" s="28"/>
      <c r="L321" s="28"/>
      <c r="M321" s="28"/>
      <c r="N321" s="28"/>
      <c r="O321" s="28"/>
      <c r="P321" s="28"/>
      <c r="Q321" s="28"/>
      <c r="R321" s="28"/>
      <c r="S321" s="28"/>
      <c r="T321" s="28"/>
      <c r="U321" s="7"/>
      <c r="V321" s="28"/>
      <c r="W321" s="28"/>
      <c r="X321" s="2"/>
      <c r="Y321" s="2"/>
      <c r="Z321" s="2"/>
    </row>
    <row r="322" spans="1:26" ht="19.5" customHeight="1">
      <c r="A322" s="28"/>
      <c r="B322" s="28"/>
      <c r="C322" s="28"/>
      <c r="D322" s="29"/>
      <c r="E322" s="29"/>
      <c r="F322" s="28"/>
      <c r="G322" s="28"/>
      <c r="H322" s="28"/>
      <c r="I322" s="28"/>
      <c r="J322" s="28"/>
      <c r="K322" s="28"/>
      <c r="L322" s="28"/>
      <c r="M322" s="28"/>
      <c r="N322" s="28"/>
      <c r="O322" s="28"/>
      <c r="P322" s="28"/>
      <c r="Q322" s="28"/>
      <c r="R322" s="28"/>
      <c r="S322" s="28"/>
      <c r="T322" s="28"/>
      <c r="U322" s="7"/>
      <c r="V322" s="28"/>
      <c r="W322" s="28"/>
      <c r="X322" s="2"/>
      <c r="Y322" s="2"/>
      <c r="Z322" s="2"/>
    </row>
    <row r="323" spans="1:26" ht="19.5" customHeight="1">
      <c r="A323" s="28"/>
      <c r="B323" s="28"/>
      <c r="C323" s="28"/>
      <c r="D323" s="29"/>
      <c r="E323" s="29"/>
      <c r="F323" s="28"/>
      <c r="G323" s="28"/>
      <c r="H323" s="28"/>
      <c r="I323" s="28"/>
      <c r="J323" s="28"/>
      <c r="K323" s="28"/>
      <c r="L323" s="28"/>
      <c r="M323" s="28"/>
      <c r="N323" s="28"/>
      <c r="O323" s="28"/>
      <c r="P323" s="28"/>
      <c r="Q323" s="28"/>
      <c r="R323" s="28"/>
      <c r="S323" s="28"/>
      <c r="T323" s="28"/>
      <c r="U323" s="7"/>
      <c r="V323" s="28"/>
      <c r="W323" s="28"/>
      <c r="X323" s="2"/>
      <c r="Y323" s="2"/>
      <c r="Z323" s="2"/>
    </row>
    <row r="324" spans="1:26" ht="19.5" customHeight="1">
      <c r="A324" s="28"/>
      <c r="B324" s="28"/>
      <c r="C324" s="28"/>
      <c r="D324" s="29"/>
      <c r="E324" s="29"/>
      <c r="F324" s="28"/>
      <c r="G324" s="28"/>
      <c r="H324" s="28"/>
      <c r="I324" s="28"/>
      <c r="J324" s="28"/>
      <c r="K324" s="28"/>
      <c r="L324" s="28"/>
      <c r="M324" s="28"/>
      <c r="N324" s="28"/>
      <c r="O324" s="28"/>
      <c r="P324" s="28"/>
      <c r="Q324" s="28"/>
      <c r="R324" s="28"/>
      <c r="S324" s="28"/>
      <c r="T324" s="28"/>
      <c r="U324" s="7"/>
      <c r="V324" s="28"/>
      <c r="W324" s="28"/>
      <c r="X324" s="2"/>
      <c r="Y324" s="2"/>
      <c r="Z324" s="2"/>
    </row>
    <row r="325" spans="1:26" ht="19.5" customHeight="1">
      <c r="A325" s="28"/>
      <c r="B325" s="28"/>
      <c r="C325" s="28"/>
      <c r="D325" s="29"/>
      <c r="E325" s="29"/>
      <c r="F325" s="28"/>
      <c r="G325" s="28"/>
      <c r="H325" s="28"/>
      <c r="I325" s="28"/>
      <c r="J325" s="28"/>
      <c r="K325" s="28"/>
      <c r="L325" s="28"/>
      <c r="M325" s="28"/>
      <c r="N325" s="28"/>
      <c r="O325" s="28"/>
      <c r="P325" s="28"/>
      <c r="Q325" s="28"/>
      <c r="R325" s="28"/>
      <c r="S325" s="28"/>
      <c r="T325" s="28"/>
      <c r="U325" s="7"/>
      <c r="V325" s="28"/>
      <c r="W325" s="28"/>
      <c r="X325" s="2"/>
      <c r="Y325" s="2"/>
      <c r="Z325" s="2"/>
    </row>
    <row r="326" spans="1:26" ht="19.5" customHeight="1">
      <c r="A326" s="28"/>
      <c r="B326" s="28"/>
      <c r="C326" s="28"/>
      <c r="D326" s="29"/>
      <c r="E326" s="29"/>
      <c r="F326" s="28"/>
      <c r="G326" s="28"/>
      <c r="H326" s="28"/>
      <c r="I326" s="28"/>
      <c r="J326" s="28"/>
      <c r="K326" s="28"/>
      <c r="L326" s="28"/>
      <c r="M326" s="28"/>
      <c r="N326" s="28"/>
      <c r="O326" s="28"/>
      <c r="P326" s="28"/>
      <c r="Q326" s="28"/>
      <c r="R326" s="28"/>
      <c r="S326" s="28"/>
      <c r="T326" s="28"/>
      <c r="U326" s="7"/>
      <c r="V326" s="28"/>
      <c r="W326" s="28"/>
      <c r="X326" s="2"/>
      <c r="Y326" s="2"/>
      <c r="Z326" s="2"/>
    </row>
    <row r="327" spans="1:26" ht="19.5" customHeight="1">
      <c r="A327" s="28"/>
      <c r="B327" s="28"/>
      <c r="C327" s="28"/>
      <c r="D327" s="29"/>
      <c r="E327" s="29"/>
      <c r="F327" s="28"/>
      <c r="G327" s="28"/>
      <c r="H327" s="28"/>
      <c r="I327" s="28"/>
      <c r="J327" s="28"/>
      <c r="K327" s="28"/>
      <c r="L327" s="28"/>
      <c r="M327" s="28"/>
      <c r="N327" s="28"/>
      <c r="O327" s="28"/>
      <c r="P327" s="28"/>
      <c r="Q327" s="28"/>
      <c r="R327" s="28"/>
      <c r="S327" s="28"/>
      <c r="T327" s="28"/>
      <c r="U327" s="7"/>
      <c r="V327" s="28"/>
      <c r="W327" s="28"/>
      <c r="X327" s="2"/>
      <c r="Y327" s="2"/>
      <c r="Z327" s="2"/>
    </row>
    <row r="328" spans="1:26" ht="19.5" customHeight="1">
      <c r="A328" s="28"/>
      <c r="B328" s="28"/>
      <c r="C328" s="28"/>
      <c r="D328" s="29"/>
      <c r="E328" s="29"/>
      <c r="F328" s="28"/>
      <c r="G328" s="28"/>
      <c r="H328" s="28"/>
      <c r="I328" s="28"/>
      <c r="J328" s="28"/>
      <c r="K328" s="28"/>
      <c r="L328" s="28"/>
      <c r="M328" s="28"/>
      <c r="N328" s="28"/>
      <c r="O328" s="28"/>
      <c r="P328" s="28"/>
      <c r="Q328" s="28"/>
      <c r="R328" s="28"/>
      <c r="S328" s="28"/>
      <c r="T328" s="28"/>
      <c r="U328" s="7"/>
      <c r="V328" s="28"/>
      <c r="W328" s="28"/>
      <c r="X328" s="2"/>
      <c r="Y328" s="2"/>
      <c r="Z328" s="2"/>
    </row>
    <row r="329" spans="1:26" ht="19.5" customHeight="1">
      <c r="A329" s="28"/>
      <c r="B329" s="28"/>
      <c r="C329" s="28"/>
      <c r="D329" s="29"/>
      <c r="E329" s="29"/>
      <c r="F329" s="28"/>
      <c r="G329" s="28"/>
      <c r="H329" s="28"/>
      <c r="I329" s="28"/>
      <c r="J329" s="28"/>
      <c r="K329" s="28"/>
      <c r="L329" s="28"/>
      <c r="M329" s="28"/>
      <c r="N329" s="28"/>
      <c r="O329" s="28"/>
      <c r="P329" s="28"/>
      <c r="Q329" s="28"/>
      <c r="R329" s="28"/>
      <c r="S329" s="28"/>
      <c r="T329" s="28"/>
      <c r="U329" s="7"/>
      <c r="V329" s="28"/>
      <c r="W329" s="28"/>
      <c r="X329" s="2"/>
      <c r="Y329" s="2"/>
      <c r="Z329" s="2"/>
    </row>
    <row r="330" spans="1:26" ht="19.5" customHeight="1">
      <c r="A330" s="28"/>
      <c r="B330" s="28"/>
      <c r="C330" s="28"/>
      <c r="D330" s="29"/>
      <c r="E330" s="29"/>
      <c r="F330" s="28"/>
      <c r="G330" s="28"/>
      <c r="H330" s="28"/>
      <c r="I330" s="28"/>
      <c r="J330" s="28"/>
      <c r="K330" s="28"/>
      <c r="L330" s="28"/>
      <c r="M330" s="28"/>
      <c r="N330" s="28"/>
      <c r="O330" s="28"/>
      <c r="P330" s="28"/>
      <c r="Q330" s="28"/>
      <c r="R330" s="28"/>
      <c r="S330" s="28"/>
      <c r="T330" s="28"/>
      <c r="U330" s="7"/>
      <c r="V330" s="28"/>
      <c r="W330" s="28"/>
      <c r="X330" s="2"/>
      <c r="Y330" s="2"/>
      <c r="Z330" s="2"/>
    </row>
    <row r="331" spans="1:26" ht="19.5" customHeight="1">
      <c r="A331" s="28"/>
      <c r="B331" s="28"/>
      <c r="C331" s="28"/>
      <c r="D331" s="29"/>
      <c r="E331" s="29"/>
      <c r="F331" s="28"/>
      <c r="G331" s="28"/>
      <c r="H331" s="28"/>
      <c r="I331" s="28"/>
      <c r="J331" s="28"/>
      <c r="K331" s="28"/>
      <c r="L331" s="28"/>
      <c r="M331" s="28"/>
      <c r="N331" s="28"/>
      <c r="O331" s="28"/>
      <c r="P331" s="28"/>
      <c r="Q331" s="28"/>
      <c r="R331" s="28"/>
      <c r="S331" s="28"/>
      <c r="T331" s="28"/>
      <c r="U331" s="7"/>
      <c r="V331" s="28"/>
      <c r="W331" s="28"/>
      <c r="X331" s="2"/>
      <c r="Y331" s="2"/>
      <c r="Z331" s="2"/>
    </row>
    <row r="332" spans="1:26" ht="19.5" customHeight="1">
      <c r="A332" s="28"/>
      <c r="B332" s="28"/>
      <c r="C332" s="28"/>
      <c r="D332" s="29"/>
      <c r="E332" s="29"/>
      <c r="F332" s="28"/>
      <c r="G332" s="28"/>
      <c r="H332" s="28"/>
      <c r="I332" s="28"/>
      <c r="J332" s="28"/>
      <c r="K332" s="28"/>
      <c r="L332" s="28"/>
      <c r="M332" s="28"/>
      <c r="N332" s="28"/>
      <c r="O332" s="28"/>
      <c r="P332" s="28"/>
      <c r="Q332" s="28"/>
      <c r="R332" s="28"/>
      <c r="S332" s="28"/>
      <c r="T332" s="28"/>
      <c r="U332" s="7"/>
      <c r="V332" s="28"/>
      <c r="W332" s="28"/>
      <c r="X332" s="2"/>
      <c r="Y332" s="2"/>
      <c r="Z332" s="2"/>
    </row>
    <row r="333" spans="1:26" ht="19.5" customHeight="1">
      <c r="A333" s="28"/>
      <c r="B333" s="28"/>
      <c r="C333" s="28"/>
      <c r="D333" s="29"/>
      <c r="E333" s="29"/>
      <c r="F333" s="28"/>
      <c r="G333" s="28"/>
      <c r="H333" s="28"/>
      <c r="I333" s="28"/>
      <c r="J333" s="28"/>
      <c r="K333" s="28"/>
      <c r="L333" s="28"/>
      <c r="M333" s="28"/>
      <c r="N333" s="28"/>
      <c r="O333" s="28"/>
      <c r="P333" s="28"/>
      <c r="Q333" s="28"/>
      <c r="R333" s="28"/>
      <c r="S333" s="28"/>
      <c r="T333" s="28"/>
      <c r="U333" s="7"/>
      <c r="V333" s="28"/>
      <c r="W333" s="28"/>
      <c r="X333" s="2"/>
      <c r="Y333" s="2"/>
      <c r="Z333" s="2"/>
    </row>
    <row r="334" spans="1:26" ht="19.5" customHeight="1">
      <c r="A334" s="28"/>
      <c r="B334" s="28"/>
      <c r="C334" s="28"/>
      <c r="D334" s="29"/>
      <c r="E334" s="29"/>
      <c r="F334" s="28"/>
      <c r="G334" s="28"/>
      <c r="H334" s="28"/>
      <c r="I334" s="28"/>
      <c r="J334" s="28"/>
      <c r="K334" s="28"/>
      <c r="L334" s="28"/>
      <c r="M334" s="28"/>
      <c r="N334" s="28"/>
      <c r="O334" s="28"/>
      <c r="P334" s="28"/>
      <c r="Q334" s="28"/>
      <c r="R334" s="28"/>
      <c r="S334" s="28"/>
      <c r="T334" s="28"/>
      <c r="U334" s="7"/>
      <c r="V334" s="28"/>
      <c r="W334" s="28"/>
      <c r="X334" s="2"/>
      <c r="Y334" s="2"/>
      <c r="Z334" s="2"/>
    </row>
    <row r="335" spans="1:26" ht="19.5" customHeight="1">
      <c r="A335" s="28"/>
      <c r="B335" s="28"/>
      <c r="C335" s="28"/>
      <c r="D335" s="29"/>
      <c r="E335" s="29"/>
      <c r="F335" s="28"/>
      <c r="G335" s="28"/>
      <c r="H335" s="28"/>
      <c r="I335" s="28"/>
      <c r="J335" s="28"/>
      <c r="K335" s="28"/>
      <c r="L335" s="28"/>
      <c r="M335" s="28"/>
      <c r="N335" s="28"/>
      <c r="O335" s="28"/>
      <c r="P335" s="28"/>
      <c r="Q335" s="28"/>
      <c r="R335" s="28"/>
      <c r="S335" s="28"/>
      <c r="T335" s="28"/>
      <c r="U335" s="7"/>
      <c r="V335" s="28"/>
      <c r="W335" s="28"/>
      <c r="X335" s="2"/>
      <c r="Y335" s="2"/>
      <c r="Z335" s="2"/>
    </row>
    <row r="336" spans="1:26" ht="19.5" customHeight="1">
      <c r="A336" s="28"/>
      <c r="B336" s="28"/>
      <c r="C336" s="28"/>
      <c r="D336" s="29"/>
      <c r="E336" s="29"/>
      <c r="F336" s="28"/>
      <c r="G336" s="28"/>
      <c r="H336" s="28"/>
      <c r="I336" s="28"/>
      <c r="J336" s="28"/>
      <c r="K336" s="28"/>
      <c r="L336" s="28"/>
      <c r="M336" s="28"/>
      <c r="N336" s="28"/>
      <c r="O336" s="28"/>
      <c r="P336" s="28"/>
      <c r="Q336" s="28"/>
      <c r="R336" s="28"/>
      <c r="S336" s="28"/>
      <c r="T336" s="28"/>
      <c r="U336" s="7"/>
      <c r="V336" s="28"/>
      <c r="W336" s="28"/>
      <c r="X336" s="2"/>
      <c r="Y336" s="2"/>
      <c r="Z336" s="2"/>
    </row>
    <row r="337" spans="1:26" ht="19.5" customHeight="1">
      <c r="A337" s="28"/>
      <c r="B337" s="28"/>
      <c r="C337" s="28"/>
      <c r="D337" s="29"/>
      <c r="E337" s="29"/>
      <c r="F337" s="28"/>
      <c r="G337" s="28"/>
      <c r="H337" s="28"/>
      <c r="I337" s="28"/>
      <c r="J337" s="28"/>
      <c r="K337" s="28"/>
      <c r="L337" s="28"/>
      <c r="M337" s="28"/>
      <c r="N337" s="28"/>
      <c r="O337" s="28"/>
      <c r="P337" s="28"/>
      <c r="Q337" s="28"/>
      <c r="R337" s="28"/>
      <c r="S337" s="28"/>
      <c r="T337" s="28"/>
      <c r="U337" s="7"/>
      <c r="V337" s="28"/>
      <c r="W337" s="28"/>
      <c r="X337" s="2"/>
      <c r="Y337" s="2"/>
      <c r="Z337" s="2"/>
    </row>
    <row r="338" spans="1:26" ht="19.5" customHeight="1">
      <c r="A338" s="28"/>
      <c r="B338" s="28"/>
      <c r="C338" s="28"/>
      <c r="D338" s="29"/>
      <c r="E338" s="29"/>
      <c r="F338" s="28"/>
      <c r="G338" s="28"/>
      <c r="H338" s="28"/>
      <c r="I338" s="28"/>
      <c r="J338" s="28"/>
      <c r="K338" s="28"/>
      <c r="L338" s="28"/>
      <c r="M338" s="28"/>
      <c r="N338" s="28"/>
      <c r="O338" s="28"/>
      <c r="P338" s="28"/>
      <c r="Q338" s="28"/>
      <c r="R338" s="28"/>
      <c r="S338" s="28"/>
      <c r="T338" s="28"/>
      <c r="U338" s="7"/>
      <c r="V338" s="28"/>
      <c r="W338" s="28"/>
      <c r="X338" s="2"/>
      <c r="Y338" s="2"/>
      <c r="Z338" s="2"/>
    </row>
    <row r="339" spans="1:26" ht="19.5" customHeight="1">
      <c r="A339" s="28"/>
      <c r="B339" s="28"/>
      <c r="C339" s="28"/>
      <c r="D339" s="29"/>
      <c r="E339" s="29"/>
      <c r="F339" s="28"/>
      <c r="G339" s="28"/>
      <c r="H339" s="28"/>
      <c r="I339" s="28"/>
      <c r="J339" s="28"/>
      <c r="K339" s="28"/>
      <c r="L339" s="28"/>
      <c r="M339" s="28"/>
      <c r="N339" s="28"/>
      <c r="O339" s="28"/>
      <c r="P339" s="28"/>
      <c r="Q339" s="28"/>
      <c r="R339" s="28"/>
      <c r="S339" s="28"/>
      <c r="T339" s="28"/>
      <c r="U339" s="7"/>
      <c r="V339" s="28"/>
      <c r="W339" s="28"/>
      <c r="X339" s="2"/>
      <c r="Y339" s="2"/>
      <c r="Z339" s="2"/>
    </row>
    <row r="340" spans="1:26" ht="19.5" customHeight="1">
      <c r="A340" s="28"/>
      <c r="B340" s="28"/>
      <c r="C340" s="28"/>
      <c r="D340" s="29"/>
      <c r="E340" s="29"/>
      <c r="F340" s="28"/>
      <c r="G340" s="28"/>
      <c r="H340" s="28"/>
      <c r="I340" s="28"/>
      <c r="J340" s="28"/>
      <c r="K340" s="28"/>
      <c r="L340" s="28"/>
      <c r="M340" s="28"/>
      <c r="N340" s="28"/>
      <c r="O340" s="28"/>
      <c r="P340" s="28"/>
      <c r="Q340" s="28"/>
      <c r="R340" s="28"/>
      <c r="S340" s="28"/>
      <c r="T340" s="28"/>
      <c r="U340" s="7"/>
      <c r="V340" s="28"/>
      <c r="W340" s="28"/>
      <c r="X340" s="2"/>
      <c r="Y340" s="2"/>
      <c r="Z340" s="2"/>
    </row>
    <row r="341" spans="1:26" ht="19.5" customHeight="1">
      <c r="A341" s="28"/>
      <c r="B341" s="28"/>
      <c r="C341" s="28"/>
      <c r="D341" s="29"/>
      <c r="E341" s="29"/>
      <c r="F341" s="28"/>
      <c r="G341" s="28"/>
      <c r="H341" s="28"/>
      <c r="I341" s="28"/>
      <c r="J341" s="28"/>
      <c r="K341" s="28"/>
      <c r="L341" s="28"/>
      <c r="M341" s="28"/>
      <c r="N341" s="28"/>
      <c r="O341" s="28"/>
      <c r="P341" s="28"/>
      <c r="Q341" s="28"/>
      <c r="R341" s="28"/>
      <c r="S341" s="28"/>
      <c r="T341" s="28"/>
      <c r="U341" s="7"/>
      <c r="V341" s="28"/>
      <c r="W341" s="28"/>
      <c r="X341" s="2"/>
      <c r="Y341" s="2"/>
      <c r="Z341" s="2"/>
    </row>
    <row r="342" spans="1:26" ht="19.5" customHeight="1">
      <c r="A342" s="28"/>
      <c r="B342" s="28"/>
      <c r="C342" s="28"/>
      <c r="D342" s="29"/>
      <c r="E342" s="29"/>
      <c r="F342" s="28"/>
      <c r="G342" s="28"/>
      <c r="H342" s="28"/>
      <c r="I342" s="28"/>
      <c r="J342" s="28"/>
      <c r="K342" s="28"/>
      <c r="L342" s="28"/>
      <c r="M342" s="28"/>
      <c r="N342" s="28"/>
      <c r="O342" s="28"/>
      <c r="P342" s="28"/>
      <c r="Q342" s="28"/>
      <c r="R342" s="28"/>
      <c r="S342" s="28"/>
      <c r="T342" s="28"/>
      <c r="U342" s="7"/>
      <c r="V342" s="28"/>
      <c r="W342" s="28"/>
      <c r="X342" s="2"/>
      <c r="Y342" s="2"/>
      <c r="Z342" s="2"/>
    </row>
    <row r="343" spans="1:26" ht="19.5" customHeight="1">
      <c r="A343" s="28"/>
      <c r="B343" s="28"/>
      <c r="C343" s="28"/>
      <c r="D343" s="29"/>
      <c r="E343" s="29"/>
      <c r="F343" s="28"/>
      <c r="G343" s="28"/>
      <c r="H343" s="28"/>
      <c r="I343" s="28"/>
      <c r="J343" s="28"/>
      <c r="K343" s="28"/>
      <c r="L343" s="28"/>
      <c r="M343" s="28"/>
      <c r="N343" s="28"/>
      <c r="O343" s="28"/>
      <c r="P343" s="28"/>
      <c r="Q343" s="28"/>
      <c r="R343" s="28"/>
      <c r="S343" s="28"/>
      <c r="T343" s="28"/>
      <c r="U343" s="7"/>
      <c r="V343" s="28"/>
      <c r="W343" s="28"/>
      <c r="X343" s="2"/>
      <c r="Y343" s="2"/>
      <c r="Z343" s="2"/>
    </row>
    <row r="344" spans="1:26" ht="19.5" customHeight="1">
      <c r="A344" s="28"/>
      <c r="B344" s="28"/>
      <c r="C344" s="28"/>
      <c r="D344" s="29"/>
      <c r="E344" s="29"/>
      <c r="F344" s="28"/>
      <c r="G344" s="28"/>
      <c r="H344" s="28"/>
      <c r="I344" s="28"/>
      <c r="J344" s="28"/>
      <c r="K344" s="28"/>
      <c r="L344" s="28"/>
      <c r="M344" s="28"/>
      <c r="N344" s="28"/>
      <c r="O344" s="28"/>
      <c r="P344" s="28"/>
      <c r="Q344" s="28"/>
      <c r="R344" s="28"/>
      <c r="S344" s="28"/>
      <c r="T344" s="28"/>
      <c r="U344" s="7"/>
      <c r="V344" s="28"/>
      <c r="W344" s="28"/>
      <c r="X344" s="2"/>
      <c r="Y344" s="2"/>
      <c r="Z344" s="2"/>
    </row>
    <row r="345" spans="1:26" ht="19.5" customHeight="1">
      <c r="A345" s="28"/>
      <c r="B345" s="28"/>
      <c r="C345" s="28"/>
      <c r="D345" s="29"/>
      <c r="E345" s="29"/>
      <c r="F345" s="28"/>
      <c r="G345" s="28"/>
      <c r="H345" s="28"/>
      <c r="I345" s="28"/>
      <c r="J345" s="28"/>
      <c r="K345" s="28"/>
      <c r="L345" s="28"/>
      <c r="M345" s="28"/>
      <c r="N345" s="28"/>
      <c r="O345" s="28"/>
      <c r="P345" s="28"/>
      <c r="Q345" s="28"/>
      <c r="R345" s="28"/>
      <c r="S345" s="28"/>
      <c r="T345" s="28"/>
      <c r="U345" s="7"/>
      <c r="V345" s="28"/>
      <c r="W345" s="28"/>
      <c r="X345" s="2"/>
      <c r="Y345" s="2"/>
      <c r="Z345" s="2"/>
    </row>
    <row r="346" spans="1:26" ht="19.5" customHeight="1">
      <c r="A346" s="28"/>
      <c r="B346" s="28"/>
      <c r="C346" s="28"/>
      <c r="D346" s="29"/>
      <c r="E346" s="29"/>
      <c r="F346" s="28"/>
      <c r="G346" s="28"/>
      <c r="H346" s="28"/>
      <c r="I346" s="28"/>
      <c r="J346" s="28"/>
      <c r="K346" s="28"/>
      <c r="L346" s="28"/>
      <c r="M346" s="28"/>
      <c r="N346" s="28"/>
      <c r="O346" s="28"/>
      <c r="P346" s="28"/>
      <c r="Q346" s="28"/>
      <c r="R346" s="28"/>
      <c r="S346" s="28"/>
      <c r="T346" s="28"/>
      <c r="U346" s="7"/>
      <c r="V346" s="28"/>
      <c r="W346" s="28"/>
      <c r="X346" s="2"/>
      <c r="Y346" s="2"/>
      <c r="Z346" s="2"/>
    </row>
    <row r="347" spans="1:26" ht="19.5" customHeight="1">
      <c r="A347" s="28"/>
      <c r="B347" s="28"/>
      <c r="C347" s="28"/>
      <c r="D347" s="29"/>
      <c r="E347" s="29"/>
      <c r="F347" s="28"/>
      <c r="G347" s="28"/>
      <c r="H347" s="28"/>
      <c r="I347" s="28"/>
      <c r="J347" s="28"/>
      <c r="K347" s="28"/>
      <c r="L347" s="28"/>
      <c r="M347" s="28"/>
      <c r="N347" s="28"/>
      <c r="O347" s="28"/>
      <c r="P347" s="28"/>
      <c r="Q347" s="28"/>
      <c r="R347" s="28"/>
      <c r="S347" s="28"/>
      <c r="T347" s="28"/>
      <c r="U347" s="7"/>
      <c r="V347" s="28"/>
      <c r="W347" s="28"/>
      <c r="X347" s="2"/>
      <c r="Y347" s="2"/>
      <c r="Z347" s="2"/>
    </row>
    <row r="348" spans="1:26" ht="19.5" customHeight="1">
      <c r="A348" s="28"/>
      <c r="B348" s="28"/>
      <c r="C348" s="28"/>
      <c r="D348" s="29"/>
      <c r="E348" s="29"/>
      <c r="F348" s="28"/>
      <c r="G348" s="28"/>
      <c r="H348" s="28"/>
      <c r="I348" s="28"/>
      <c r="J348" s="28"/>
      <c r="K348" s="28"/>
      <c r="L348" s="28"/>
      <c r="M348" s="28"/>
      <c r="N348" s="28"/>
      <c r="O348" s="28"/>
      <c r="P348" s="28"/>
      <c r="Q348" s="28"/>
      <c r="R348" s="28"/>
      <c r="S348" s="28"/>
      <c r="T348" s="28"/>
      <c r="U348" s="7"/>
      <c r="V348" s="28"/>
      <c r="W348" s="28"/>
      <c r="X348" s="2"/>
      <c r="Y348" s="2"/>
      <c r="Z348" s="2"/>
    </row>
    <row r="349" spans="1:26" ht="19.5" customHeight="1">
      <c r="A349" s="28"/>
      <c r="B349" s="28"/>
      <c r="C349" s="28"/>
      <c r="D349" s="29"/>
      <c r="E349" s="29"/>
      <c r="F349" s="28"/>
      <c r="G349" s="28"/>
      <c r="H349" s="28"/>
      <c r="I349" s="28"/>
      <c r="J349" s="28"/>
      <c r="K349" s="28"/>
      <c r="L349" s="28"/>
      <c r="M349" s="28"/>
      <c r="N349" s="28"/>
      <c r="O349" s="28"/>
      <c r="P349" s="28"/>
      <c r="Q349" s="28"/>
      <c r="R349" s="28"/>
      <c r="S349" s="28"/>
      <c r="T349" s="28"/>
      <c r="U349" s="7"/>
      <c r="V349" s="28"/>
      <c r="W349" s="28"/>
      <c r="X349" s="2"/>
      <c r="Y349" s="2"/>
      <c r="Z349" s="2"/>
    </row>
    <row r="350" spans="1:26" ht="19.5" customHeight="1">
      <c r="A350" s="28"/>
      <c r="B350" s="28"/>
      <c r="C350" s="28"/>
      <c r="D350" s="29"/>
      <c r="E350" s="29"/>
      <c r="F350" s="28"/>
      <c r="G350" s="28"/>
      <c r="H350" s="28"/>
      <c r="I350" s="28"/>
      <c r="J350" s="28"/>
      <c r="K350" s="28"/>
      <c r="L350" s="28"/>
      <c r="M350" s="28"/>
      <c r="N350" s="28"/>
      <c r="O350" s="28"/>
      <c r="P350" s="28"/>
      <c r="Q350" s="28"/>
      <c r="R350" s="28"/>
      <c r="S350" s="28"/>
      <c r="T350" s="28"/>
      <c r="U350" s="7"/>
      <c r="V350" s="28"/>
      <c r="W350" s="28"/>
      <c r="X350" s="2"/>
      <c r="Y350" s="2"/>
      <c r="Z350" s="2"/>
    </row>
    <row r="351" spans="1:26" ht="19.5" customHeight="1">
      <c r="A351" s="28"/>
      <c r="B351" s="28"/>
      <c r="C351" s="28"/>
      <c r="D351" s="29"/>
      <c r="E351" s="29"/>
      <c r="F351" s="28"/>
      <c r="G351" s="28"/>
      <c r="H351" s="28"/>
      <c r="I351" s="28"/>
      <c r="J351" s="28"/>
      <c r="K351" s="28"/>
      <c r="L351" s="28"/>
      <c r="M351" s="28"/>
      <c r="N351" s="28"/>
      <c r="O351" s="28"/>
      <c r="P351" s="28"/>
      <c r="Q351" s="28"/>
      <c r="R351" s="28"/>
      <c r="S351" s="28"/>
      <c r="T351" s="28"/>
      <c r="U351" s="7"/>
      <c r="V351" s="28"/>
      <c r="W351" s="28"/>
      <c r="X351" s="2"/>
      <c r="Y351" s="2"/>
      <c r="Z351" s="2"/>
    </row>
    <row r="352" spans="1:26" ht="19.5" customHeight="1">
      <c r="A352" s="28"/>
      <c r="B352" s="28"/>
      <c r="C352" s="28"/>
      <c r="D352" s="29"/>
      <c r="E352" s="29"/>
      <c r="F352" s="28"/>
      <c r="G352" s="28"/>
      <c r="H352" s="28"/>
      <c r="I352" s="28"/>
      <c r="J352" s="28"/>
      <c r="K352" s="28"/>
      <c r="L352" s="28"/>
      <c r="M352" s="28"/>
      <c r="N352" s="28"/>
      <c r="O352" s="28"/>
      <c r="P352" s="28"/>
      <c r="Q352" s="28"/>
      <c r="R352" s="28"/>
      <c r="S352" s="28"/>
      <c r="T352" s="28"/>
      <c r="U352" s="7"/>
      <c r="V352" s="28"/>
      <c r="W352" s="28"/>
      <c r="X352" s="2"/>
      <c r="Y352" s="2"/>
      <c r="Z352" s="2"/>
    </row>
    <row r="353" spans="1:26" ht="19.5" customHeight="1">
      <c r="A353" s="28"/>
      <c r="B353" s="28"/>
      <c r="C353" s="28"/>
      <c r="D353" s="29"/>
      <c r="E353" s="29"/>
      <c r="F353" s="28"/>
      <c r="G353" s="28"/>
      <c r="H353" s="28"/>
      <c r="I353" s="28"/>
      <c r="J353" s="28"/>
      <c r="K353" s="28"/>
      <c r="L353" s="28"/>
      <c r="M353" s="28"/>
      <c r="N353" s="28"/>
      <c r="O353" s="28"/>
      <c r="P353" s="28"/>
      <c r="Q353" s="28"/>
      <c r="R353" s="28"/>
      <c r="S353" s="28"/>
      <c r="T353" s="28"/>
      <c r="U353" s="7"/>
      <c r="V353" s="28"/>
      <c r="W353" s="28"/>
      <c r="X353" s="2"/>
      <c r="Y353" s="2"/>
      <c r="Z353" s="2"/>
    </row>
    <row r="354" spans="1:26" ht="19.5" customHeight="1">
      <c r="A354" s="28"/>
      <c r="B354" s="28"/>
      <c r="C354" s="28"/>
      <c r="D354" s="29"/>
      <c r="E354" s="29"/>
      <c r="F354" s="28"/>
      <c r="G354" s="28"/>
      <c r="H354" s="28"/>
      <c r="I354" s="28"/>
      <c r="J354" s="28"/>
      <c r="K354" s="28"/>
      <c r="L354" s="28"/>
      <c r="M354" s="28"/>
      <c r="N354" s="28"/>
      <c r="O354" s="28"/>
      <c r="P354" s="28"/>
      <c r="Q354" s="28"/>
      <c r="R354" s="28"/>
      <c r="S354" s="28"/>
      <c r="T354" s="28"/>
      <c r="U354" s="7"/>
      <c r="V354" s="28"/>
      <c r="W354" s="28"/>
      <c r="X354" s="2"/>
      <c r="Y354" s="2"/>
      <c r="Z354" s="2"/>
    </row>
    <row r="355" spans="1:26" ht="19.5" customHeight="1">
      <c r="A355" s="28"/>
      <c r="B355" s="28"/>
      <c r="C355" s="28"/>
      <c r="D355" s="29"/>
      <c r="E355" s="29"/>
      <c r="F355" s="28"/>
      <c r="G355" s="28"/>
      <c r="H355" s="28"/>
      <c r="I355" s="28"/>
      <c r="J355" s="28"/>
      <c r="K355" s="28"/>
      <c r="L355" s="28"/>
      <c r="M355" s="28"/>
      <c r="N355" s="28"/>
      <c r="O355" s="28"/>
      <c r="P355" s="28"/>
      <c r="Q355" s="28"/>
      <c r="R355" s="28"/>
      <c r="S355" s="28"/>
      <c r="T355" s="28"/>
      <c r="U355" s="7"/>
      <c r="V355" s="28"/>
      <c r="W355" s="28"/>
      <c r="X355" s="2"/>
      <c r="Y355" s="2"/>
      <c r="Z355" s="2"/>
    </row>
    <row r="356" spans="1:26" ht="19.5" customHeight="1">
      <c r="A356" s="28"/>
      <c r="B356" s="28"/>
      <c r="C356" s="28"/>
      <c r="D356" s="29"/>
      <c r="E356" s="29"/>
      <c r="F356" s="28"/>
      <c r="G356" s="28"/>
      <c r="H356" s="28"/>
      <c r="I356" s="28"/>
      <c r="J356" s="28"/>
      <c r="K356" s="28"/>
      <c r="L356" s="28"/>
      <c r="M356" s="28"/>
      <c r="N356" s="28"/>
      <c r="O356" s="28"/>
      <c r="P356" s="28"/>
      <c r="Q356" s="28"/>
      <c r="R356" s="28"/>
      <c r="S356" s="28"/>
      <c r="T356" s="28"/>
      <c r="U356" s="7"/>
      <c r="V356" s="28"/>
      <c r="W356" s="28"/>
      <c r="X356" s="2"/>
      <c r="Y356" s="2"/>
      <c r="Z356" s="2"/>
    </row>
    <row r="357" spans="1:26" ht="19.5" customHeight="1">
      <c r="A357" s="28"/>
      <c r="B357" s="28"/>
      <c r="C357" s="28"/>
      <c r="D357" s="29"/>
      <c r="E357" s="29"/>
      <c r="F357" s="28"/>
      <c r="G357" s="28"/>
      <c r="H357" s="28"/>
      <c r="I357" s="28"/>
      <c r="J357" s="28"/>
      <c r="K357" s="28"/>
      <c r="L357" s="28"/>
      <c r="M357" s="28"/>
      <c r="N357" s="28"/>
      <c r="O357" s="28"/>
      <c r="P357" s="28"/>
      <c r="Q357" s="28"/>
      <c r="R357" s="28"/>
      <c r="S357" s="28"/>
      <c r="T357" s="28"/>
      <c r="U357" s="7"/>
      <c r="V357" s="28"/>
      <c r="W357" s="28"/>
      <c r="X357" s="2"/>
      <c r="Y357" s="2"/>
      <c r="Z357" s="2"/>
    </row>
    <row r="358" spans="1:26" ht="19.5" customHeight="1">
      <c r="A358" s="28"/>
      <c r="B358" s="28"/>
      <c r="C358" s="28"/>
      <c r="D358" s="29"/>
      <c r="E358" s="29"/>
      <c r="F358" s="28"/>
      <c r="G358" s="28"/>
      <c r="H358" s="28"/>
      <c r="I358" s="28"/>
      <c r="J358" s="28"/>
      <c r="K358" s="28"/>
      <c r="L358" s="28"/>
      <c r="M358" s="28"/>
      <c r="N358" s="28"/>
      <c r="O358" s="28"/>
      <c r="P358" s="28"/>
      <c r="Q358" s="28"/>
      <c r="R358" s="28"/>
      <c r="S358" s="28"/>
      <c r="T358" s="28"/>
      <c r="U358" s="7"/>
      <c r="V358" s="28"/>
      <c r="W358" s="28"/>
      <c r="X358" s="2"/>
      <c r="Y358" s="2"/>
      <c r="Z358" s="2"/>
    </row>
    <row r="359" spans="1:26" ht="19.5" customHeight="1">
      <c r="A359" s="28"/>
      <c r="B359" s="28"/>
      <c r="C359" s="28"/>
      <c r="D359" s="29"/>
      <c r="E359" s="29"/>
      <c r="F359" s="28"/>
      <c r="G359" s="28"/>
      <c r="H359" s="28"/>
      <c r="I359" s="28"/>
      <c r="J359" s="28"/>
      <c r="K359" s="28"/>
      <c r="L359" s="28"/>
      <c r="M359" s="28"/>
      <c r="N359" s="28"/>
      <c r="O359" s="28"/>
      <c r="P359" s="28"/>
      <c r="Q359" s="28"/>
      <c r="R359" s="28"/>
      <c r="S359" s="28"/>
      <c r="T359" s="28"/>
      <c r="U359" s="7"/>
      <c r="V359" s="28"/>
      <c r="W359" s="28"/>
      <c r="X359" s="2"/>
      <c r="Y359" s="2"/>
      <c r="Z359" s="2"/>
    </row>
    <row r="360" spans="1:26" ht="19.5" customHeight="1">
      <c r="A360" s="28"/>
      <c r="B360" s="28"/>
      <c r="C360" s="28"/>
      <c r="D360" s="29"/>
      <c r="E360" s="29"/>
      <c r="F360" s="28"/>
      <c r="G360" s="28"/>
      <c r="H360" s="28"/>
      <c r="I360" s="28"/>
      <c r="J360" s="28"/>
      <c r="K360" s="28"/>
      <c r="L360" s="28"/>
      <c r="M360" s="28"/>
      <c r="N360" s="28"/>
      <c r="O360" s="28"/>
      <c r="P360" s="28"/>
      <c r="Q360" s="28"/>
      <c r="R360" s="28"/>
      <c r="S360" s="28"/>
      <c r="T360" s="28"/>
      <c r="U360" s="7"/>
      <c r="V360" s="28"/>
      <c r="W360" s="28"/>
      <c r="X360" s="2"/>
      <c r="Y360" s="2"/>
      <c r="Z360" s="2"/>
    </row>
    <row r="361" spans="1:26" ht="19.5" customHeight="1">
      <c r="A361" s="28"/>
      <c r="B361" s="28"/>
      <c r="C361" s="28"/>
      <c r="D361" s="29"/>
      <c r="E361" s="29"/>
      <c r="F361" s="28"/>
      <c r="G361" s="28"/>
      <c r="H361" s="28"/>
      <c r="I361" s="28"/>
      <c r="J361" s="28"/>
      <c r="K361" s="28"/>
      <c r="L361" s="28"/>
      <c r="M361" s="28"/>
      <c r="N361" s="28"/>
      <c r="O361" s="28"/>
      <c r="P361" s="28"/>
      <c r="Q361" s="28"/>
      <c r="R361" s="28"/>
      <c r="S361" s="28"/>
      <c r="T361" s="28"/>
      <c r="U361" s="7"/>
      <c r="V361" s="28"/>
      <c r="W361" s="28"/>
      <c r="X361" s="2"/>
      <c r="Y361" s="2"/>
      <c r="Z361" s="2"/>
    </row>
    <row r="362" spans="1:26" ht="19.5" customHeight="1">
      <c r="A362" s="28"/>
      <c r="B362" s="28"/>
      <c r="C362" s="28"/>
      <c r="D362" s="29"/>
      <c r="E362" s="29"/>
      <c r="F362" s="28"/>
      <c r="G362" s="28"/>
      <c r="H362" s="28"/>
      <c r="I362" s="28"/>
      <c r="J362" s="28"/>
      <c r="K362" s="28"/>
      <c r="L362" s="28"/>
      <c r="M362" s="28"/>
      <c r="N362" s="28"/>
      <c r="O362" s="28"/>
      <c r="P362" s="28"/>
      <c r="Q362" s="28"/>
      <c r="R362" s="28"/>
      <c r="S362" s="28"/>
      <c r="T362" s="28"/>
      <c r="U362" s="7"/>
      <c r="V362" s="28"/>
      <c r="W362" s="28"/>
      <c r="X362" s="2"/>
      <c r="Y362" s="2"/>
      <c r="Z362" s="2"/>
    </row>
    <row r="363" spans="1:26" ht="19.5" customHeight="1">
      <c r="A363" s="28"/>
      <c r="B363" s="28"/>
      <c r="C363" s="28"/>
      <c r="D363" s="29"/>
      <c r="E363" s="29"/>
      <c r="F363" s="28"/>
      <c r="G363" s="28"/>
      <c r="H363" s="28"/>
      <c r="I363" s="28"/>
      <c r="J363" s="28"/>
      <c r="K363" s="28"/>
      <c r="L363" s="28"/>
      <c r="M363" s="28"/>
      <c r="N363" s="28"/>
      <c r="O363" s="28"/>
      <c r="P363" s="28"/>
      <c r="Q363" s="28"/>
      <c r="R363" s="28"/>
      <c r="S363" s="28"/>
      <c r="T363" s="28"/>
      <c r="U363" s="7"/>
      <c r="V363" s="28"/>
      <c r="W363" s="28"/>
      <c r="X363" s="2"/>
      <c r="Y363" s="2"/>
      <c r="Z363" s="2"/>
    </row>
    <row r="364" spans="1:26" ht="19.5" customHeight="1">
      <c r="A364" s="28"/>
      <c r="B364" s="28"/>
      <c r="C364" s="28"/>
      <c r="D364" s="29"/>
      <c r="E364" s="29"/>
      <c r="F364" s="28"/>
      <c r="G364" s="28"/>
      <c r="H364" s="28"/>
      <c r="I364" s="28"/>
      <c r="J364" s="28"/>
      <c r="K364" s="28"/>
      <c r="L364" s="28"/>
      <c r="M364" s="28"/>
      <c r="N364" s="28"/>
      <c r="O364" s="28"/>
      <c r="P364" s="28"/>
      <c r="Q364" s="28"/>
      <c r="R364" s="28"/>
      <c r="S364" s="28"/>
      <c r="T364" s="28"/>
      <c r="U364" s="7"/>
      <c r="V364" s="28"/>
      <c r="W364" s="28"/>
      <c r="X364" s="2"/>
      <c r="Y364" s="2"/>
      <c r="Z364" s="2"/>
    </row>
    <row r="365" spans="1:26" ht="19.5" customHeight="1">
      <c r="A365" s="28"/>
      <c r="B365" s="28"/>
      <c r="C365" s="28"/>
      <c r="D365" s="29"/>
      <c r="E365" s="29"/>
      <c r="F365" s="28"/>
      <c r="G365" s="28"/>
      <c r="H365" s="28"/>
      <c r="I365" s="28"/>
      <c r="J365" s="28"/>
      <c r="K365" s="28"/>
      <c r="L365" s="28"/>
      <c r="M365" s="28"/>
      <c r="N365" s="28"/>
      <c r="O365" s="28"/>
      <c r="P365" s="28"/>
      <c r="Q365" s="28"/>
      <c r="R365" s="28"/>
      <c r="S365" s="28"/>
      <c r="T365" s="28"/>
      <c r="U365" s="7"/>
      <c r="V365" s="28"/>
      <c r="W365" s="28"/>
      <c r="X365" s="2"/>
      <c r="Y365" s="2"/>
      <c r="Z365" s="2"/>
    </row>
    <row r="366" spans="1:26" ht="19.5" customHeight="1">
      <c r="A366" s="28"/>
      <c r="B366" s="28"/>
      <c r="C366" s="28"/>
      <c r="D366" s="29"/>
      <c r="E366" s="29"/>
      <c r="F366" s="28"/>
      <c r="G366" s="28"/>
      <c r="H366" s="28"/>
      <c r="I366" s="28"/>
      <c r="J366" s="28"/>
      <c r="K366" s="28"/>
      <c r="L366" s="28"/>
      <c r="M366" s="28"/>
      <c r="N366" s="28"/>
      <c r="O366" s="28"/>
      <c r="P366" s="28"/>
      <c r="Q366" s="28"/>
      <c r="R366" s="28"/>
      <c r="S366" s="28"/>
      <c r="T366" s="28"/>
      <c r="U366" s="7"/>
      <c r="V366" s="28"/>
      <c r="W366" s="28"/>
      <c r="X366" s="2"/>
      <c r="Y366" s="2"/>
      <c r="Z366" s="2"/>
    </row>
    <row r="367" spans="1:26" ht="19.5" customHeight="1">
      <c r="A367" s="28"/>
      <c r="B367" s="28"/>
      <c r="C367" s="28"/>
      <c r="D367" s="29"/>
      <c r="E367" s="29"/>
      <c r="F367" s="28"/>
      <c r="G367" s="28"/>
      <c r="H367" s="28"/>
      <c r="I367" s="28"/>
      <c r="J367" s="28"/>
      <c r="K367" s="28"/>
      <c r="L367" s="28"/>
      <c r="M367" s="28"/>
      <c r="N367" s="28"/>
      <c r="O367" s="28"/>
      <c r="P367" s="28"/>
      <c r="Q367" s="28"/>
      <c r="R367" s="28"/>
      <c r="S367" s="28"/>
      <c r="T367" s="28"/>
      <c r="U367" s="7"/>
      <c r="V367" s="28"/>
      <c r="W367" s="28"/>
      <c r="X367" s="2"/>
      <c r="Y367" s="2"/>
      <c r="Z367" s="2"/>
    </row>
    <row r="368" spans="1:26" ht="19.5" customHeight="1">
      <c r="A368" s="28"/>
      <c r="B368" s="28"/>
      <c r="C368" s="28"/>
      <c r="D368" s="29"/>
      <c r="E368" s="29"/>
      <c r="F368" s="28"/>
      <c r="G368" s="28"/>
      <c r="H368" s="28"/>
      <c r="I368" s="28"/>
      <c r="J368" s="28"/>
      <c r="K368" s="28"/>
      <c r="L368" s="28"/>
      <c r="M368" s="28"/>
      <c r="N368" s="28"/>
      <c r="O368" s="28"/>
      <c r="P368" s="28"/>
      <c r="Q368" s="28"/>
      <c r="R368" s="28"/>
      <c r="S368" s="28"/>
      <c r="T368" s="28"/>
      <c r="U368" s="7"/>
      <c r="V368" s="28"/>
      <c r="W368" s="28"/>
      <c r="X368" s="2"/>
      <c r="Y368" s="2"/>
      <c r="Z368" s="2"/>
    </row>
    <row r="369" spans="1:26" ht="19.5" customHeight="1">
      <c r="A369" s="28"/>
      <c r="B369" s="28"/>
      <c r="C369" s="28"/>
      <c r="D369" s="29"/>
      <c r="E369" s="29"/>
      <c r="F369" s="28"/>
      <c r="G369" s="28"/>
      <c r="H369" s="28"/>
      <c r="I369" s="28"/>
      <c r="J369" s="28"/>
      <c r="K369" s="28"/>
      <c r="L369" s="28"/>
      <c r="M369" s="28"/>
      <c r="N369" s="28"/>
      <c r="O369" s="28"/>
      <c r="P369" s="28"/>
      <c r="Q369" s="28"/>
      <c r="R369" s="28"/>
      <c r="S369" s="28"/>
      <c r="T369" s="28"/>
      <c r="U369" s="7"/>
      <c r="V369" s="28"/>
      <c r="W369" s="28"/>
      <c r="X369" s="2"/>
      <c r="Y369" s="2"/>
      <c r="Z369" s="2"/>
    </row>
    <row r="370" spans="1:26" ht="19.5" customHeight="1">
      <c r="A370" s="28"/>
      <c r="B370" s="28"/>
      <c r="C370" s="28"/>
      <c r="D370" s="29"/>
      <c r="E370" s="29"/>
      <c r="F370" s="28"/>
      <c r="G370" s="28"/>
      <c r="H370" s="28"/>
      <c r="I370" s="28"/>
      <c r="J370" s="28"/>
      <c r="K370" s="28"/>
      <c r="L370" s="28"/>
      <c r="M370" s="28"/>
      <c r="N370" s="28"/>
      <c r="O370" s="28"/>
      <c r="P370" s="28"/>
      <c r="Q370" s="28"/>
      <c r="R370" s="28"/>
      <c r="S370" s="28"/>
      <c r="T370" s="28"/>
      <c r="U370" s="7"/>
      <c r="V370" s="28"/>
      <c r="W370" s="28"/>
      <c r="X370" s="2"/>
      <c r="Y370" s="2"/>
      <c r="Z370" s="2"/>
    </row>
    <row r="371" spans="1:26" ht="19.5" customHeight="1">
      <c r="A371" s="28"/>
      <c r="B371" s="28"/>
      <c r="C371" s="28"/>
      <c r="D371" s="29"/>
      <c r="E371" s="29"/>
      <c r="F371" s="28"/>
      <c r="G371" s="28"/>
      <c r="H371" s="28"/>
      <c r="I371" s="28"/>
      <c r="J371" s="28"/>
      <c r="K371" s="28"/>
      <c r="L371" s="28"/>
      <c r="M371" s="28"/>
      <c r="N371" s="28"/>
      <c r="O371" s="28"/>
      <c r="P371" s="28"/>
      <c r="Q371" s="28"/>
      <c r="R371" s="28"/>
      <c r="S371" s="28"/>
      <c r="T371" s="28"/>
      <c r="U371" s="7"/>
      <c r="V371" s="28"/>
      <c r="W371" s="28"/>
      <c r="X371" s="2"/>
      <c r="Y371" s="2"/>
      <c r="Z371" s="2"/>
    </row>
    <row r="372" spans="1:26" ht="19.5" customHeight="1">
      <c r="A372" s="28"/>
      <c r="B372" s="28"/>
      <c r="C372" s="28"/>
      <c r="D372" s="29"/>
      <c r="E372" s="29"/>
      <c r="F372" s="28"/>
      <c r="G372" s="28"/>
      <c r="H372" s="28"/>
      <c r="I372" s="28"/>
      <c r="J372" s="28"/>
      <c r="K372" s="28"/>
      <c r="L372" s="28"/>
      <c r="M372" s="28"/>
      <c r="N372" s="28"/>
      <c r="O372" s="28"/>
      <c r="P372" s="28"/>
      <c r="Q372" s="28"/>
      <c r="R372" s="28"/>
      <c r="S372" s="28"/>
      <c r="T372" s="28"/>
      <c r="U372" s="7"/>
      <c r="V372" s="28"/>
      <c r="W372" s="28"/>
      <c r="X372" s="2"/>
      <c r="Y372" s="2"/>
      <c r="Z372" s="2"/>
    </row>
    <row r="373" spans="1:26" ht="19.5" customHeight="1">
      <c r="A373" s="28"/>
      <c r="B373" s="28"/>
      <c r="C373" s="28"/>
      <c r="D373" s="29"/>
      <c r="E373" s="29"/>
      <c r="F373" s="28"/>
      <c r="G373" s="28"/>
      <c r="H373" s="28"/>
      <c r="I373" s="28"/>
      <c r="J373" s="28"/>
      <c r="K373" s="28"/>
      <c r="L373" s="28"/>
      <c r="M373" s="28"/>
      <c r="N373" s="28"/>
      <c r="O373" s="28"/>
      <c r="P373" s="28"/>
      <c r="Q373" s="28"/>
      <c r="R373" s="28"/>
      <c r="S373" s="28"/>
      <c r="T373" s="28"/>
      <c r="U373" s="7"/>
      <c r="V373" s="28"/>
      <c r="W373" s="28"/>
      <c r="X373" s="2"/>
      <c r="Y373" s="2"/>
      <c r="Z373" s="2"/>
    </row>
    <row r="374" spans="1:26" ht="19.5" customHeight="1">
      <c r="A374" s="28"/>
      <c r="B374" s="28"/>
      <c r="C374" s="28"/>
      <c r="D374" s="29"/>
      <c r="E374" s="29"/>
      <c r="F374" s="28"/>
      <c r="G374" s="28"/>
      <c r="H374" s="28"/>
      <c r="I374" s="28"/>
      <c r="J374" s="28"/>
      <c r="K374" s="28"/>
      <c r="L374" s="28"/>
      <c r="M374" s="28"/>
      <c r="N374" s="28"/>
      <c r="O374" s="28"/>
      <c r="P374" s="28"/>
      <c r="Q374" s="28"/>
      <c r="R374" s="28"/>
      <c r="S374" s="28"/>
      <c r="T374" s="28"/>
      <c r="U374" s="7"/>
      <c r="V374" s="28"/>
      <c r="W374" s="28"/>
      <c r="X374" s="2"/>
      <c r="Y374" s="2"/>
      <c r="Z374" s="2"/>
    </row>
    <row r="375" spans="1:26" ht="19.5" customHeight="1">
      <c r="A375" s="28"/>
      <c r="B375" s="28"/>
      <c r="C375" s="28"/>
      <c r="D375" s="29"/>
      <c r="E375" s="29"/>
      <c r="F375" s="28"/>
      <c r="G375" s="28"/>
      <c r="H375" s="28"/>
      <c r="I375" s="28"/>
      <c r="J375" s="28"/>
      <c r="K375" s="28"/>
      <c r="L375" s="28"/>
      <c r="M375" s="28"/>
      <c r="N375" s="28"/>
      <c r="O375" s="28"/>
      <c r="P375" s="28"/>
      <c r="Q375" s="28"/>
      <c r="R375" s="28"/>
      <c r="S375" s="28"/>
      <c r="T375" s="28"/>
      <c r="U375" s="7"/>
      <c r="V375" s="28"/>
      <c r="W375" s="28"/>
      <c r="X375" s="2"/>
      <c r="Y375" s="2"/>
      <c r="Z375" s="2"/>
    </row>
    <row r="376" spans="1:26" ht="19.5" customHeight="1">
      <c r="A376" s="28"/>
      <c r="B376" s="28"/>
      <c r="C376" s="28"/>
      <c r="D376" s="29"/>
      <c r="E376" s="29"/>
      <c r="F376" s="28"/>
      <c r="G376" s="28"/>
      <c r="H376" s="28"/>
      <c r="I376" s="28"/>
      <c r="J376" s="28"/>
      <c r="K376" s="28"/>
      <c r="L376" s="28"/>
      <c r="M376" s="28"/>
      <c r="N376" s="28"/>
      <c r="O376" s="28"/>
      <c r="P376" s="28"/>
      <c r="Q376" s="28"/>
      <c r="R376" s="28"/>
      <c r="S376" s="28"/>
      <c r="T376" s="28"/>
      <c r="U376" s="7"/>
      <c r="V376" s="28"/>
      <c r="W376" s="28"/>
      <c r="X376" s="2"/>
      <c r="Y376" s="2"/>
      <c r="Z376" s="2"/>
    </row>
    <row r="377" spans="1:26" ht="19.5" customHeight="1">
      <c r="A377" s="28"/>
      <c r="B377" s="28"/>
      <c r="C377" s="28"/>
      <c r="D377" s="29"/>
      <c r="E377" s="29"/>
      <c r="F377" s="28"/>
      <c r="G377" s="28"/>
      <c r="H377" s="28"/>
      <c r="I377" s="28"/>
      <c r="J377" s="28"/>
      <c r="K377" s="28"/>
      <c r="L377" s="28"/>
      <c r="M377" s="28"/>
      <c r="N377" s="28"/>
      <c r="O377" s="28"/>
      <c r="P377" s="28"/>
      <c r="Q377" s="28"/>
      <c r="R377" s="28"/>
      <c r="S377" s="28"/>
      <c r="T377" s="28"/>
      <c r="U377" s="7"/>
      <c r="V377" s="28"/>
      <c r="W377" s="28"/>
      <c r="X377" s="2"/>
      <c r="Y377" s="2"/>
      <c r="Z377" s="2"/>
    </row>
    <row r="378" spans="1:26" ht="19.5" customHeight="1">
      <c r="A378" s="28"/>
      <c r="B378" s="28"/>
      <c r="C378" s="28"/>
      <c r="D378" s="29"/>
      <c r="E378" s="29"/>
      <c r="F378" s="28"/>
      <c r="G378" s="28"/>
      <c r="H378" s="28"/>
      <c r="I378" s="28"/>
      <c r="J378" s="28"/>
      <c r="K378" s="28"/>
      <c r="L378" s="28"/>
      <c r="M378" s="28"/>
      <c r="N378" s="28"/>
      <c r="O378" s="28"/>
      <c r="P378" s="28"/>
      <c r="Q378" s="28"/>
      <c r="R378" s="28"/>
      <c r="S378" s="28"/>
      <c r="T378" s="28"/>
      <c r="U378" s="7"/>
      <c r="V378" s="28"/>
      <c r="W378" s="28"/>
      <c r="X378" s="2"/>
      <c r="Y378" s="2"/>
      <c r="Z378" s="2"/>
    </row>
    <row r="379" spans="1:26" ht="19.5" customHeight="1">
      <c r="A379" s="28"/>
      <c r="B379" s="28"/>
      <c r="C379" s="28"/>
      <c r="D379" s="29"/>
      <c r="E379" s="29"/>
      <c r="F379" s="28"/>
      <c r="G379" s="28"/>
      <c r="H379" s="28"/>
      <c r="I379" s="28"/>
      <c r="J379" s="28"/>
      <c r="K379" s="28"/>
      <c r="L379" s="28"/>
      <c r="M379" s="28"/>
      <c r="N379" s="28"/>
      <c r="O379" s="28"/>
      <c r="P379" s="28"/>
      <c r="Q379" s="28"/>
      <c r="R379" s="28"/>
      <c r="S379" s="28"/>
      <c r="T379" s="28"/>
      <c r="U379" s="7"/>
      <c r="V379" s="28"/>
      <c r="W379" s="28"/>
      <c r="X379" s="2"/>
      <c r="Y379" s="2"/>
      <c r="Z379" s="2"/>
    </row>
    <row r="380" spans="1:26" ht="19.5" customHeight="1">
      <c r="A380" s="28"/>
      <c r="B380" s="28"/>
      <c r="C380" s="28"/>
      <c r="D380" s="29"/>
      <c r="E380" s="29"/>
      <c r="F380" s="28"/>
      <c r="G380" s="28"/>
      <c r="H380" s="28"/>
      <c r="I380" s="28"/>
      <c r="J380" s="28"/>
      <c r="K380" s="28"/>
      <c r="L380" s="28"/>
      <c r="M380" s="28"/>
      <c r="N380" s="28"/>
      <c r="O380" s="28"/>
      <c r="P380" s="28"/>
      <c r="Q380" s="28"/>
      <c r="R380" s="28"/>
      <c r="S380" s="28"/>
      <c r="T380" s="28"/>
      <c r="U380" s="7"/>
      <c r="V380" s="28"/>
      <c r="W380" s="28"/>
      <c r="X380" s="2"/>
      <c r="Y380" s="2"/>
      <c r="Z380" s="2"/>
    </row>
    <row r="381" spans="1:26" ht="19.5" customHeight="1">
      <c r="A381" s="28"/>
      <c r="B381" s="28"/>
      <c r="C381" s="28"/>
      <c r="D381" s="29"/>
      <c r="E381" s="29"/>
      <c r="F381" s="28"/>
      <c r="G381" s="28"/>
      <c r="H381" s="28"/>
      <c r="I381" s="28"/>
      <c r="J381" s="28"/>
      <c r="K381" s="28"/>
      <c r="L381" s="28"/>
      <c r="M381" s="28"/>
      <c r="N381" s="28"/>
      <c r="O381" s="28"/>
      <c r="P381" s="28"/>
      <c r="Q381" s="28"/>
      <c r="R381" s="28"/>
      <c r="S381" s="28"/>
      <c r="T381" s="28"/>
      <c r="U381" s="7"/>
      <c r="V381" s="28"/>
      <c r="W381" s="28"/>
      <c r="X381" s="2"/>
      <c r="Y381" s="2"/>
      <c r="Z381" s="2"/>
    </row>
    <row r="382" spans="1:26" ht="19.5" customHeight="1">
      <c r="A382" s="28"/>
      <c r="B382" s="28"/>
      <c r="C382" s="28"/>
      <c r="D382" s="29"/>
      <c r="E382" s="29"/>
      <c r="F382" s="28"/>
      <c r="G382" s="28"/>
      <c r="H382" s="28"/>
      <c r="I382" s="28"/>
      <c r="J382" s="28"/>
      <c r="K382" s="28"/>
      <c r="L382" s="28"/>
      <c r="M382" s="28"/>
      <c r="N382" s="28"/>
      <c r="O382" s="28"/>
      <c r="P382" s="28"/>
      <c r="Q382" s="28"/>
      <c r="R382" s="28"/>
      <c r="S382" s="28"/>
      <c r="T382" s="28"/>
      <c r="U382" s="7"/>
      <c r="V382" s="28"/>
      <c r="W382" s="28"/>
      <c r="X382" s="2"/>
      <c r="Y382" s="2"/>
      <c r="Z382" s="2"/>
    </row>
    <row r="383" spans="1:26" ht="19.5" customHeight="1">
      <c r="A383" s="28"/>
      <c r="B383" s="28"/>
      <c r="C383" s="28"/>
      <c r="D383" s="29"/>
      <c r="E383" s="29"/>
      <c r="F383" s="28"/>
      <c r="G383" s="28"/>
      <c r="H383" s="28"/>
      <c r="I383" s="28"/>
      <c r="J383" s="28"/>
      <c r="K383" s="28"/>
      <c r="L383" s="28"/>
      <c r="M383" s="28"/>
      <c r="N383" s="28"/>
      <c r="O383" s="28"/>
      <c r="P383" s="28"/>
      <c r="Q383" s="28"/>
      <c r="R383" s="28"/>
      <c r="S383" s="28"/>
      <c r="T383" s="28"/>
      <c r="U383" s="7"/>
      <c r="V383" s="28"/>
      <c r="W383" s="28"/>
      <c r="X383" s="2"/>
      <c r="Y383" s="2"/>
      <c r="Z383" s="2"/>
    </row>
    <row r="384" spans="1:26" ht="19.5" customHeight="1">
      <c r="A384" s="28"/>
      <c r="B384" s="28"/>
      <c r="C384" s="28"/>
      <c r="D384" s="29"/>
      <c r="E384" s="29"/>
      <c r="F384" s="28"/>
      <c r="G384" s="28"/>
      <c r="H384" s="28"/>
      <c r="I384" s="28"/>
      <c r="J384" s="28"/>
      <c r="K384" s="28"/>
      <c r="L384" s="28"/>
      <c r="M384" s="28"/>
      <c r="N384" s="28"/>
      <c r="O384" s="28"/>
      <c r="P384" s="28"/>
      <c r="Q384" s="28"/>
      <c r="R384" s="28"/>
      <c r="S384" s="28"/>
      <c r="T384" s="28"/>
      <c r="U384" s="7"/>
      <c r="V384" s="28"/>
      <c r="W384" s="28"/>
      <c r="X384" s="2"/>
      <c r="Y384" s="2"/>
      <c r="Z384" s="2"/>
    </row>
    <row r="385" spans="1:26" ht="19.5" customHeight="1">
      <c r="A385" s="28"/>
      <c r="B385" s="28"/>
      <c r="C385" s="28"/>
      <c r="D385" s="29"/>
      <c r="E385" s="29"/>
      <c r="F385" s="28"/>
      <c r="G385" s="28"/>
      <c r="H385" s="28"/>
      <c r="I385" s="28"/>
      <c r="J385" s="28"/>
      <c r="K385" s="28"/>
      <c r="L385" s="28"/>
      <c r="M385" s="28"/>
      <c r="N385" s="28"/>
      <c r="O385" s="28"/>
      <c r="P385" s="28"/>
      <c r="Q385" s="28"/>
      <c r="R385" s="28"/>
      <c r="S385" s="28"/>
      <c r="T385" s="28"/>
      <c r="U385" s="7"/>
      <c r="V385" s="28"/>
      <c r="W385" s="28"/>
      <c r="X385" s="2"/>
      <c r="Y385" s="2"/>
      <c r="Z385" s="2"/>
    </row>
    <row r="386" spans="1:26" ht="19.5" customHeight="1">
      <c r="A386" s="28"/>
      <c r="B386" s="28"/>
      <c r="C386" s="28"/>
      <c r="D386" s="29"/>
      <c r="E386" s="29"/>
      <c r="F386" s="28"/>
      <c r="G386" s="28"/>
      <c r="H386" s="28"/>
      <c r="I386" s="28"/>
      <c r="J386" s="28"/>
      <c r="K386" s="28"/>
      <c r="L386" s="28"/>
      <c r="M386" s="28"/>
      <c r="N386" s="28"/>
      <c r="O386" s="28"/>
      <c r="P386" s="28"/>
      <c r="Q386" s="28"/>
      <c r="R386" s="28"/>
      <c r="S386" s="28"/>
      <c r="T386" s="28"/>
      <c r="U386" s="7"/>
      <c r="V386" s="28"/>
      <c r="W386" s="28"/>
      <c r="X386" s="2"/>
      <c r="Y386" s="2"/>
      <c r="Z386" s="2"/>
    </row>
    <row r="387" spans="1:26" ht="19.5" customHeight="1">
      <c r="A387" s="28"/>
      <c r="B387" s="28"/>
      <c r="C387" s="28"/>
      <c r="D387" s="29"/>
      <c r="E387" s="29"/>
      <c r="F387" s="28"/>
      <c r="G387" s="28"/>
      <c r="H387" s="28"/>
      <c r="I387" s="28"/>
      <c r="J387" s="28"/>
      <c r="K387" s="28"/>
      <c r="L387" s="28"/>
      <c r="M387" s="28"/>
      <c r="N387" s="28"/>
      <c r="O387" s="28"/>
      <c r="P387" s="28"/>
      <c r="Q387" s="28"/>
      <c r="R387" s="28"/>
      <c r="S387" s="28"/>
      <c r="T387" s="28"/>
      <c r="U387" s="7"/>
      <c r="V387" s="28"/>
      <c r="W387" s="28"/>
      <c r="X387" s="2"/>
      <c r="Y387" s="2"/>
      <c r="Z387" s="2"/>
    </row>
    <row r="388" spans="1:26" ht="19.5" customHeight="1">
      <c r="A388" s="28"/>
      <c r="B388" s="28"/>
      <c r="C388" s="28"/>
      <c r="D388" s="29"/>
      <c r="E388" s="29"/>
      <c r="F388" s="28"/>
      <c r="G388" s="28"/>
      <c r="H388" s="28"/>
      <c r="I388" s="28"/>
      <c r="J388" s="28"/>
      <c r="K388" s="28"/>
      <c r="L388" s="28"/>
      <c r="M388" s="28"/>
      <c r="N388" s="28"/>
      <c r="O388" s="28"/>
      <c r="P388" s="28"/>
      <c r="Q388" s="28"/>
      <c r="R388" s="28"/>
      <c r="S388" s="28"/>
      <c r="T388" s="28"/>
      <c r="U388" s="7"/>
      <c r="V388" s="28"/>
      <c r="W388" s="28"/>
      <c r="X388" s="2"/>
      <c r="Y388" s="2"/>
      <c r="Z388" s="2"/>
    </row>
    <row r="389" spans="1:26" ht="19.5" customHeight="1">
      <c r="A389" s="28"/>
      <c r="B389" s="28"/>
      <c r="C389" s="28"/>
      <c r="D389" s="29"/>
      <c r="E389" s="29"/>
      <c r="F389" s="28"/>
      <c r="G389" s="28"/>
      <c r="H389" s="28"/>
      <c r="I389" s="28"/>
      <c r="J389" s="28"/>
      <c r="K389" s="28"/>
      <c r="L389" s="28"/>
      <c r="M389" s="28"/>
      <c r="N389" s="28"/>
      <c r="O389" s="28"/>
      <c r="P389" s="28"/>
      <c r="Q389" s="28"/>
      <c r="R389" s="28"/>
      <c r="S389" s="28"/>
      <c r="T389" s="28"/>
      <c r="U389" s="7"/>
      <c r="V389" s="28"/>
      <c r="W389" s="28"/>
      <c r="X389" s="2"/>
      <c r="Y389" s="2"/>
      <c r="Z389" s="2"/>
    </row>
    <row r="390" spans="1:26" ht="19.5" customHeight="1">
      <c r="A390" s="28"/>
      <c r="B390" s="28"/>
      <c r="C390" s="28"/>
      <c r="D390" s="29"/>
      <c r="E390" s="29"/>
      <c r="F390" s="28"/>
      <c r="G390" s="28"/>
      <c r="H390" s="28"/>
      <c r="I390" s="28"/>
      <c r="J390" s="28"/>
      <c r="K390" s="28"/>
      <c r="L390" s="28"/>
      <c r="M390" s="28"/>
      <c r="N390" s="28"/>
      <c r="O390" s="28"/>
      <c r="P390" s="28"/>
      <c r="Q390" s="28"/>
      <c r="R390" s="28"/>
      <c r="S390" s="28"/>
      <c r="T390" s="28"/>
      <c r="U390" s="7"/>
      <c r="V390" s="28"/>
      <c r="W390" s="28"/>
      <c r="X390" s="2"/>
      <c r="Y390" s="2"/>
      <c r="Z390" s="2"/>
    </row>
    <row r="391" spans="1:26" ht="19.5" customHeight="1">
      <c r="A391" s="28"/>
      <c r="B391" s="28"/>
      <c r="C391" s="28"/>
      <c r="D391" s="29"/>
      <c r="E391" s="29"/>
      <c r="F391" s="28"/>
      <c r="G391" s="28"/>
      <c r="H391" s="28"/>
      <c r="I391" s="28"/>
      <c r="J391" s="28"/>
      <c r="K391" s="28"/>
      <c r="L391" s="28"/>
      <c r="M391" s="28"/>
      <c r="N391" s="28"/>
      <c r="O391" s="28"/>
      <c r="P391" s="28"/>
      <c r="Q391" s="28"/>
      <c r="R391" s="28"/>
      <c r="S391" s="28"/>
      <c r="T391" s="28"/>
      <c r="U391" s="7"/>
      <c r="V391" s="28"/>
      <c r="W391" s="28"/>
      <c r="X391" s="2"/>
      <c r="Y391" s="2"/>
      <c r="Z391" s="2"/>
    </row>
    <row r="392" spans="1:26" ht="19.5" customHeight="1">
      <c r="A392" s="28"/>
      <c r="B392" s="28"/>
      <c r="C392" s="28"/>
      <c r="D392" s="29"/>
      <c r="E392" s="29"/>
      <c r="F392" s="28"/>
      <c r="G392" s="28"/>
      <c r="H392" s="28"/>
      <c r="I392" s="28"/>
      <c r="J392" s="28"/>
      <c r="K392" s="28"/>
      <c r="L392" s="28"/>
      <c r="M392" s="28"/>
      <c r="N392" s="28"/>
      <c r="O392" s="28"/>
      <c r="P392" s="28"/>
      <c r="Q392" s="28"/>
      <c r="R392" s="28"/>
      <c r="S392" s="28"/>
      <c r="T392" s="28"/>
      <c r="U392" s="7"/>
      <c r="V392" s="28"/>
      <c r="W392" s="28"/>
      <c r="X392" s="2"/>
      <c r="Y392" s="2"/>
      <c r="Z392" s="2"/>
    </row>
    <row r="393" spans="1:26" ht="19.5" customHeight="1">
      <c r="A393" s="28"/>
      <c r="B393" s="28"/>
      <c r="C393" s="28"/>
      <c r="D393" s="29"/>
      <c r="E393" s="29"/>
      <c r="F393" s="28"/>
      <c r="G393" s="28"/>
      <c r="H393" s="28"/>
      <c r="I393" s="28"/>
      <c r="J393" s="28"/>
      <c r="K393" s="28"/>
      <c r="L393" s="28"/>
      <c r="M393" s="28"/>
      <c r="N393" s="28"/>
      <c r="O393" s="28"/>
      <c r="P393" s="28"/>
      <c r="Q393" s="28"/>
      <c r="R393" s="28"/>
      <c r="S393" s="28"/>
      <c r="T393" s="28"/>
      <c r="U393" s="7"/>
      <c r="V393" s="28"/>
      <c r="W393" s="28"/>
      <c r="X393" s="2"/>
      <c r="Y393" s="2"/>
      <c r="Z393" s="2"/>
    </row>
    <row r="394" spans="1:26" ht="19.5" customHeight="1">
      <c r="A394" s="28"/>
      <c r="B394" s="28"/>
      <c r="C394" s="28"/>
      <c r="D394" s="29"/>
      <c r="E394" s="29"/>
      <c r="F394" s="28"/>
      <c r="G394" s="28"/>
      <c r="H394" s="28"/>
      <c r="I394" s="28"/>
      <c r="J394" s="28"/>
      <c r="K394" s="28"/>
      <c r="L394" s="28"/>
      <c r="M394" s="28"/>
      <c r="N394" s="28"/>
      <c r="O394" s="28"/>
      <c r="P394" s="28"/>
      <c r="Q394" s="28"/>
      <c r="R394" s="28"/>
      <c r="S394" s="28"/>
      <c r="T394" s="28"/>
      <c r="U394" s="7"/>
      <c r="V394" s="28"/>
      <c r="W394" s="28"/>
      <c r="X394" s="2"/>
      <c r="Y394" s="2"/>
      <c r="Z394" s="2"/>
    </row>
    <row r="395" spans="1:26" ht="19.5" customHeight="1">
      <c r="A395" s="28"/>
      <c r="B395" s="28"/>
      <c r="C395" s="28"/>
      <c r="D395" s="29"/>
      <c r="E395" s="29"/>
      <c r="F395" s="28"/>
      <c r="G395" s="28"/>
      <c r="H395" s="28"/>
      <c r="I395" s="28"/>
      <c r="J395" s="28"/>
      <c r="K395" s="28"/>
      <c r="L395" s="28"/>
      <c r="M395" s="28"/>
      <c r="N395" s="28"/>
      <c r="O395" s="28"/>
      <c r="P395" s="28"/>
      <c r="Q395" s="28"/>
      <c r="R395" s="28"/>
      <c r="S395" s="28"/>
      <c r="T395" s="28"/>
      <c r="U395" s="7"/>
      <c r="V395" s="28"/>
      <c r="W395" s="28"/>
      <c r="X395" s="2"/>
      <c r="Y395" s="2"/>
      <c r="Z395" s="2"/>
    </row>
    <row r="396" spans="1:26" ht="19.5" customHeight="1">
      <c r="A396" s="28"/>
      <c r="B396" s="28"/>
      <c r="C396" s="28"/>
      <c r="D396" s="29"/>
      <c r="E396" s="29"/>
      <c r="F396" s="28"/>
      <c r="G396" s="28"/>
      <c r="H396" s="28"/>
      <c r="I396" s="28"/>
      <c r="J396" s="28"/>
      <c r="K396" s="28"/>
      <c r="L396" s="28"/>
      <c r="M396" s="28"/>
      <c r="N396" s="28"/>
      <c r="O396" s="28"/>
      <c r="P396" s="28"/>
      <c r="Q396" s="28"/>
      <c r="R396" s="28"/>
      <c r="S396" s="28"/>
      <c r="T396" s="28"/>
      <c r="U396" s="7"/>
      <c r="V396" s="28"/>
      <c r="W396" s="28"/>
      <c r="X396" s="2"/>
      <c r="Y396" s="2"/>
      <c r="Z396" s="2"/>
    </row>
    <row r="397" spans="1:26" ht="19.5" customHeight="1">
      <c r="A397" s="28"/>
      <c r="B397" s="28"/>
      <c r="C397" s="28"/>
      <c r="D397" s="29"/>
      <c r="E397" s="29"/>
      <c r="F397" s="28"/>
      <c r="G397" s="28"/>
      <c r="H397" s="28"/>
      <c r="I397" s="28"/>
      <c r="J397" s="28"/>
      <c r="K397" s="28"/>
      <c r="L397" s="28"/>
      <c r="M397" s="28"/>
      <c r="N397" s="28"/>
      <c r="O397" s="28"/>
      <c r="P397" s="28"/>
      <c r="Q397" s="28"/>
      <c r="R397" s="28"/>
      <c r="S397" s="28"/>
      <c r="T397" s="28"/>
      <c r="U397" s="7"/>
      <c r="V397" s="28"/>
      <c r="W397" s="28"/>
      <c r="X397" s="2"/>
      <c r="Y397" s="2"/>
      <c r="Z397" s="2"/>
    </row>
    <row r="398" spans="1:26" ht="19.5" customHeight="1">
      <c r="A398" s="28"/>
      <c r="B398" s="28"/>
      <c r="C398" s="28"/>
      <c r="D398" s="29"/>
      <c r="E398" s="29"/>
      <c r="F398" s="28"/>
      <c r="G398" s="28"/>
      <c r="H398" s="28"/>
      <c r="I398" s="28"/>
      <c r="J398" s="28"/>
      <c r="K398" s="28"/>
      <c r="L398" s="28"/>
      <c r="M398" s="28"/>
      <c r="N398" s="28"/>
      <c r="O398" s="28"/>
      <c r="P398" s="28"/>
      <c r="Q398" s="28"/>
      <c r="R398" s="28"/>
      <c r="S398" s="28"/>
      <c r="T398" s="28"/>
      <c r="U398" s="7"/>
      <c r="V398" s="28"/>
      <c r="W398" s="28"/>
      <c r="X398" s="2"/>
      <c r="Y398" s="2"/>
      <c r="Z398" s="2"/>
    </row>
    <row r="399" spans="1:26" ht="19.5" customHeight="1">
      <c r="A399" s="28"/>
      <c r="B399" s="28"/>
      <c r="C399" s="28"/>
      <c r="D399" s="29"/>
      <c r="E399" s="29"/>
      <c r="F399" s="28"/>
      <c r="G399" s="28"/>
      <c r="H399" s="28"/>
      <c r="I399" s="28"/>
      <c r="J399" s="28"/>
      <c r="K399" s="28"/>
      <c r="L399" s="28"/>
      <c r="M399" s="28"/>
      <c r="N399" s="28"/>
      <c r="O399" s="28"/>
      <c r="P399" s="28"/>
      <c r="Q399" s="28"/>
      <c r="R399" s="28"/>
      <c r="S399" s="28"/>
      <c r="T399" s="28"/>
      <c r="U399" s="7"/>
      <c r="V399" s="28"/>
      <c r="W399" s="28"/>
      <c r="X399" s="2"/>
      <c r="Y399" s="2"/>
      <c r="Z399" s="2"/>
    </row>
    <row r="400" spans="1:26" ht="19.5" customHeight="1">
      <c r="A400" s="28"/>
      <c r="B400" s="28"/>
      <c r="C400" s="28"/>
      <c r="D400" s="29"/>
      <c r="E400" s="29"/>
      <c r="F400" s="28"/>
      <c r="G400" s="28"/>
      <c r="H400" s="28"/>
      <c r="I400" s="28"/>
      <c r="J400" s="28"/>
      <c r="K400" s="28"/>
      <c r="L400" s="28"/>
      <c r="M400" s="28"/>
      <c r="N400" s="28"/>
      <c r="O400" s="28"/>
      <c r="P400" s="28"/>
      <c r="Q400" s="28"/>
      <c r="R400" s="28"/>
      <c r="S400" s="28"/>
      <c r="T400" s="28"/>
      <c r="U400" s="7"/>
      <c r="V400" s="28"/>
      <c r="W400" s="28"/>
      <c r="X400" s="2"/>
      <c r="Y400" s="2"/>
      <c r="Z400" s="2"/>
    </row>
    <row r="401" spans="1:26" ht="19.5" customHeight="1">
      <c r="A401" s="28"/>
      <c r="B401" s="28"/>
      <c r="C401" s="28"/>
      <c r="D401" s="29"/>
      <c r="E401" s="29"/>
      <c r="F401" s="28"/>
      <c r="G401" s="28"/>
      <c r="H401" s="28"/>
      <c r="I401" s="28"/>
      <c r="J401" s="28"/>
      <c r="K401" s="28"/>
      <c r="L401" s="28"/>
      <c r="M401" s="28"/>
      <c r="N401" s="28"/>
      <c r="O401" s="28"/>
      <c r="P401" s="28"/>
      <c r="Q401" s="28"/>
      <c r="R401" s="28"/>
      <c r="S401" s="28"/>
      <c r="T401" s="28"/>
      <c r="U401" s="7"/>
      <c r="V401" s="28"/>
      <c r="W401" s="28"/>
      <c r="X401" s="2"/>
      <c r="Y401" s="2"/>
      <c r="Z401" s="2"/>
    </row>
    <row r="402" spans="1:26" ht="19.5" customHeight="1">
      <c r="A402" s="28"/>
      <c r="B402" s="28"/>
      <c r="C402" s="28"/>
      <c r="D402" s="29"/>
      <c r="E402" s="29"/>
      <c r="F402" s="28"/>
      <c r="G402" s="28"/>
      <c r="H402" s="28"/>
      <c r="I402" s="28"/>
      <c r="J402" s="28"/>
      <c r="K402" s="28"/>
      <c r="L402" s="28"/>
      <c r="M402" s="28"/>
      <c r="N402" s="28"/>
      <c r="O402" s="28"/>
      <c r="P402" s="28"/>
      <c r="Q402" s="28"/>
      <c r="R402" s="28"/>
      <c r="S402" s="28"/>
      <c r="T402" s="28"/>
      <c r="U402" s="7"/>
      <c r="V402" s="28"/>
      <c r="W402" s="28"/>
      <c r="X402" s="2"/>
      <c r="Y402" s="2"/>
      <c r="Z402" s="2"/>
    </row>
    <row r="403" spans="1:26" ht="19.5" customHeight="1">
      <c r="A403" s="28"/>
      <c r="B403" s="28"/>
      <c r="C403" s="28"/>
      <c r="D403" s="29"/>
      <c r="E403" s="29"/>
      <c r="F403" s="28"/>
      <c r="G403" s="28"/>
      <c r="H403" s="28"/>
      <c r="I403" s="28"/>
      <c r="J403" s="28"/>
      <c r="K403" s="28"/>
      <c r="L403" s="28"/>
      <c r="M403" s="28"/>
      <c r="N403" s="28"/>
      <c r="O403" s="28"/>
      <c r="P403" s="28"/>
      <c r="Q403" s="28"/>
      <c r="R403" s="28"/>
      <c r="S403" s="28"/>
      <c r="T403" s="28"/>
      <c r="U403" s="7"/>
      <c r="V403" s="28"/>
      <c r="W403" s="28"/>
      <c r="X403" s="2"/>
      <c r="Y403" s="2"/>
      <c r="Z403" s="2"/>
    </row>
    <row r="404" spans="1:26" ht="19.5" customHeight="1">
      <c r="A404" s="28"/>
      <c r="B404" s="28"/>
      <c r="C404" s="28"/>
      <c r="D404" s="29"/>
      <c r="E404" s="29"/>
      <c r="F404" s="28"/>
      <c r="G404" s="28"/>
      <c r="H404" s="28"/>
      <c r="I404" s="28"/>
      <c r="J404" s="28"/>
      <c r="K404" s="28"/>
      <c r="L404" s="28"/>
      <c r="M404" s="28"/>
      <c r="N404" s="28"/>
      <c r="O404" s="28"/>
      <c r="P404" s="28"/>
      <c r="Q404" s="28"/>
      <c r="R404" s="28"/>
      <c r="S404" s="28"/>
      <c r="T404" s="28"/>
      <c r="U404" s="7"/>
      <c r="V404" s="28"/>
      <c r="W404" s="28"/>
      <c r="X404" s="2"/>
      <c r="Y404" s="2"/>
      <c r="Z404" s="2"/>
    </row>
    <row r="405" spans="1:26" ht="19.5" customHeight="1">
      <c r="A405" s="28"/>
      <c r="B405" s="28"/>
      <c r="C405" s="28"/>
      <c r="D405" s="29"/>
      <c r="E405" s="29"/>
      <c r="F405" s="28"/>
      <c r="G405" s="28"/>
      <c r="H405" s="28"/>
      <c r="I405" s="28"/>
      <c r="J405" s="28"/>
      <c r="K405" s="28"/>
      <c r="L405" s="28"/>
      <c r="M405" s="28"/>
      <c r="N405" s="28"/>
      <c r="O405" s="28"/>
      <c r="P405" s="28"/>
      <c r="Q405" s="28"/>
      <c r="R405" s="28"/>
      <c r="S405" s="28"/>
      <c r="T405" s="28"/>
      <c r="U405" s="7"/>
      <c r="V405" s="28"/>
      <c r="W405" s="28"/>
      <c r="X405" s="2"/>
      <c r="Y405" s="2"/>
      <c r="Z405" s="2"/>
    </row>
    <row r="406" spans="1:26" ht="19.5" customHeight="1">
      <c r="A406" s="28"/>
      <c r="B406" s="28"/>
      <c r="C406" s="28"/>
      <c r="D406" s="29"/>
      <c r="E406" s="29"/>
      <c r="F406" s="28"/>
      <c r="G406" s="28"/>
      <c r="H406" s="28"/>
      <c r="I406" s="28"/>
      <c r="J406" s="28"/>
      <c r="K406" s="28"/>
      <c r="L406" s="28"/>
      <c r="M406" s="28"/>
      <c r="N406" s="28"/>
      <c r="O406" s="28"/>
      <c r="P406" s="28"/>
      <c r="Q406" s="28"/>
      <c r="R406" s="28"/>
      <c r="S406" s="28"/>
      <c r="T406" s="28"/>
      <c r="U406" s="7"/>
      <c r="V406" s="28"/>
      <c r="W406" s="28"/>
      <c r="X406" s="2"/>
      <c r="Y406" s="2"/>
      <c r="Z406" s="2"/>
    </row>
    <row r="407" spans="1:26" ht="19.5" customHeight="1">
      <c r="A407" s="28"/>
      <c r="B407" s="28"/>
      <c r="C407" s="28"/>
      <c r="D407" s="29"/>
      <c r="E407" s="29"/>
      <c r="F407" s="28"/>
      <c r="G407" s="28"/>
      <c r="H407" s="28"/>
      <c r="I407" s="28"/>
      <c r="J407" s="28"/>
      <c r="K407" s="28"/>
      <c r="L407" s="28"/>
      <c r="M407" s="28"/>
      <c r="N407" s="28"/>
      <c r="O407" s="28"/>
      <c r="P407" s="28"/>
      <c r="Q407" s="28"/>
      <c r="R407" s="28"/>
      <c r="S407" s="28"/>
      <c r="T407" s="28"/>
      <c r="U407" s="7"/>
      <c r="V407" s="28"/>
      <c r="W407" s="28"/>
      <c r="X407" s="2"/>
      <c r="Y407" s="2"/>
      <c r="Z407" s="2"/>
    </row>
    <row r="408" spans="1:26" ht="19.5" customHeight="1">
      <c r="A408" s="28"/>
      <c r="B408" s="28"/>
      <c r="C408" s="28"/>
      <c r="D408" s="29"/>
      <c r="E408" s="29"/>
      <c r="F408" s="28"/>
      <c r="G408" s="28"/>
      <c r="H408" s="28"/>
      <c r="I408" s="28"/>
      <c r="J408" s="28"/>
      <c r="K408" s="28"/>
      <c r="L408" s="28"/>
      <c r="M408" s="28"/>
      <c r="N408" s="28"/>
      <c r="O408" s="28"/>
      <c r="P408" s="28"/>
      <c r="Q408" s="28"/>
      <c r="R408" s="28"/>
      <c r="S408" s="28"/>
      <c r="T408" s="28"/>
      <c r="U408" s="7"/>
      <c r="V408" s="28"/>
      <c r="W408" s="28"/>
      <c r="X408" s="2"/>
      <c r="Y408" s="2"/>
      <c r="Z408" s="2"/>
    </row>
    <row r="409" spans="1:26" ht="19.5" customHeight="1">
      <c r="A409" s="28"/>
      <c r="B409" s="28"/>
      <c r="C409" s="28"/>
      <c r="D409" s="29"/>
      <c r="E409" s="29"/>
      <c r="F409" s="28"/>
      <c r="G409" s="28"/>
      <c r="H409" s="28"/>
      <c r="I409" s="28"/>
      <c r="J409" s="28"/>
      <c r="K409" s="28"/>
      <c r="L409" s="28"/>
      <c r="M409" s="28"/>
      <c r="N409" s="28"/>
      <c r="O409" s="28"/>
      <c r="P409" s="28"/>
      <c r="Q409" s="28"/>
      <c r="R409" s="28"/>
      <c r="S409" s="28"/>
      <c r="T409" s="28"/>
      <c r="U409" s="7"/>
      <c r="V409" s="28"/>
      <c r="W409" s="28"/>
      <c r="X409" s="2"/>
      <c r="Y409" s="2"/>
      <c r="Z409" s="2"/>
    </row>
    <row r="410" spans="1:26" ht="19.5" customHeight="1">
      <c r="A410" s="28"/>
      <c r="B410" s="28"/>
      <c r="C410" s="28"/>
      <c r="D410" s="29"/>
      <c r="E410" s="29"/>
      <c r="F410" s="28"/>
      <c r="G410" s="28"/>
      <c r="H410" s="28"/>
      <c r="I410" s="28"/>
      <c r="J410" s="28"/>
      <c r="K410" s="28"/>
      <c r="L410" s="28"/>
      <c r="M410" s="28"/>
      <c r="N410" s="28"/>
      <c r="O410" s="28"/>
      <c r="P410" s="28"/>
      <c r="Q410" s="28"/>
      <c r="R410" s="28"/>
      <c r="S410" s="28"/>
      <c r="T410" s="28"/>
      <c r="U410" s="7"/>
      <c r="V410" s="28"/>
      <c r="W410" s="28"/>
      <c r="X410" s="2"/>
      <c r="Y410" s="2"/>
      <c r="Z410" s="2"/>
    </row>
    <row r="411" spans="1:26" ht="19.5" customHeight="1">
      <c r="A411" s="28"/>
      <c r="B411" s="28"/>
      <c r="C411" s="28"/>
      <c r="D411" s="29"/>
      <c r="E411" s="29"/>
      <c r="F411" s="28"/>
      <c r="G411" s="28"/>
      <c r="H411" s="28"/>
      <c r="I411" s="28"/>
      <c r="J411" s="28"/>
      <c r="K411" s="28"/>
      <c r="L411" s="28"/>
      <c r="M411" s="28"/>
      <c r="N411" s="28"/>
      <c r="O411" s="28"/>
      <c r="P411" s="28"/>
      <c r="Q411" s="28"/>
      <c r="R411" s="28"/>
      <c r="S411" s="28"/>
      <c r="T411" s="28"/>
      <c r="U411" s="7"/>
      <c r="V411" s="28"/>
      <c r="W411" s="28"/>
      <c r="X411" s="2"/>
      <c r="Y411" s="2"/>
      <c r="Z411" s="2"/>
    </row>
    <row r="412" spans="1:26" ht="19.5" customHeight="1">
      <c r="A412" s="28"/>
      <c r="B412" s="28"/>
      <c r="C412" s="28"/>
      <c r="D412" s="29"/>
      <c r="E412" s="29"/>
      <c r="F412" s="28"/>
      <c r="G412" s="28"/>
      <c r="H412" s="28"/>
      <c r="I412" s="28"/>
      <c r="J412" s="28"/>
      <c r="K412" s="28"/>
      <c r="L412" s="28"/>
      <c r="M412" s="28"/>
      <c r="N412" s="28"/>
      <c r="O412" s="28"/>
      <c r="P412" s="28"/>
      <c r="Q412" s="28"/>
      <c r="R412" s="28"/>
      <c r="S412" s="28"/>
      <c r="T412" s="28"/>
      <c r="U412" s="7"/>
      <c r="V412" s="28"/>
      <c r="W412" s="28"/>
      <c r="X412" s="2"/>
      <c r="Y412" s="2"/>
      <c r="Z412" s="2"/>
    </row>
    <row r="413" spans="1:26" ht="19.5" customHeight="1">
      <c r="A413" s="28"/>
      <c r="B413" s="28"/>
      <c r="C413" s="28"/>
      <c r="D413" s="29"/>
      <c r="E413" s="29"/>
      <c r="F413" s="28"/>
      <c r="G413" s="28"/>
      <c r="H413" s="28"/>
      <c r="I413" s="28"/>
      <c r="J413" s="28"/>
      <c r="K413" s="28"/>
      <c r="L413" s="28"/>
      <c r="M413" s="28"/>
      <c r="N413" s="28"/>
      <c r="O413" s="28"/>
      <c r="P413" s="28"/>
      <c r="Q413" s="28"/>
      <c r="R413" s="28"/>
      <c r="S413" s="28"/>
      <c r="T413" s="28"/>
      <c r="U413" s="7"/>
      <c r="V413" s="28"/>
      <c r="W413" s="28"/>
      <c r="X413" s="2"/>
      <c r="Y413" s="2"/>
      <c r="Z413" s="2"/>
    </row>
    <row r="414" spans="1:26" ht="19.5" customHeight="1">
      <c r="A414" s="28"/>
      <c r="B414" s="28"/>
      <c r="C414" s="28"/>
      <c r="D414" s="29"/>
      <c r="E414" s="29"/>
      <c r="F414" s="28"/>
      <c r="G414" s="28"/>
      <c r="H414" s="28"/>
      <c r="I414" s="28"/>
      <c r="J414" s="28"/>
      <c r="K414" s="28"/>
      <c r="L414" s="28"/>
      <c r="M414" s="28"/>
      <c r="N414" s="28"/>
      <c r="O414" s="28"/>
      <c r="P414" s="28"/>
      <c r="Q414" s="28"/>
      <c r="R414" s="28"/>
      <c r="S414" s="28"/>
      <c r="T414" s="28"/>
      <c r="U414" s="7"/>
      <c r="V414" s="28"/>
      <c r="W414" s="28"/>
      <c r="X414" s="2"/>
      <c r="Y414" s="2"/>
      <c r="Z414" s="2"/>
    </row>
    <row r="415" spans="1:26" ht="19.5" customHeight="1">
      <c r="A415" s="28"/>
      <c r="B415" s="28"/>
      <c r="C415" s="28"/>
      <c r="D415" s="29"/>
      <c r="E415" s="29"/>
      <c r="F415" s="28"/>
      <c r="G415" s="28"/>
      <c r="H415" s="28"/>
      <c r="I415" s="28"/>
      <c r="J415" s="28"/>
      <c r="K415" s="28"/>
      <c r="L415" s="28"/>
      <c r="M415" s="28"/>
      <c r="N415" s="28"/>
      <c r="O415" s="28"/>
      <c r="P415" s="28"/>
      <c r="Q415" s="28"/>
      <c r="R415" s="28"/>
      <c r="S415" s="28"/>
      <c r="T415" s="28"/>
      <c r="U415" s="7"/>
      <c r="V415" s="28"/>
      <c r="W415" s="28"/>
      <c r="X415" s="2"/>
      <c r="Y415" s="2"/>
      <c r="Z415" s="2"/>
    </row>
    <row r="416" spans="1:26" ht="19.5" customHeight="1">
      <c r="A416" s="28"/>
      <c r="B416" s="28"/>
      <c r="C416" s="28"/>
      <c r="D416" s="29"/>
      <c r="E416" s="29"/>
      <c r="F416" s="28"/>
      <c r="G416" s="28"/>
      <c r="H416" s="28"/>
      <c r="I416" s="28"/>
      <c r="J416" s="28"/>
      <c r="K416" s="28"/>
      <c r="L416" s="28"/>
      <c r="M416" s="28"/>
      <c r="N416" s="28"/>
      <c r="O416" s="28"/>
      <c r="P416" s="28"/>
      <c r="Q416" s="28"/>
      <c r="R416" s="28"/>
      <c r="S416" s="28"/>
      <c r="T416" s="28"/>
      <c r="U416" s="7"/>
      <c r="V416" s="28"/>
      <c r="W416" s="28"/>
      <c r="X416" s="2"/>
      <c r="Y416" s="2"/>
      <c r="Z416" s="2"/>
    </row>
    <row r="417" spans="1:26" ht="19.5" customHeight="1">
      <c r="A417" s="28"/>
      <c r="B417" s="28"/>
      <c r="C417" s="28"/>
      <c r="D417" s="29"/>
      <c r="E417" s="29"/>
      <c r="F417" s="28"/>
      <c r="G417" s="28"/>
      <c r="H417" s="28"/>
      <c r="I417" s="28"/>
      <c r="J417" s="28"/>
      <c r="K417" s="28"/>
      <c r="L417" s="28"/>
      <c r="M417" s="28"/>
      <c r="N417" s="28"/>
      <c r="O417" s="28"/>
      <c r="P417" s="28"/>
      <c r="Q417" s="28"/>
      <c r="R417" s="28"/>
      <c r="S417" s="28"/>
      <c r="T417" s="28"/>
      <c r="U417" s="7"/>
      <c r="V417" s="28"/>
      <c r="W417" s="28"/>
      <c r="X417" s="2"/>
      <c r="Y417" s="2"/>
      <c r="Z417" s="2"/>
    </row>
    <row r="418" spans="1:26" ht="19.5" customHeight="1">
      <c r="A418" s="28"/>
      <c r="B418" s="28"/>
      <c r="C418" s="28"/>
      <c r="D418" s="29"/>
      <c r="E418" s="29"/>
      <c r="F418" s="28"/>
      <c r="G418" s="28"/>
      <c r="H418" s="28"/>
      <c r="I418" s="28"/>
      <c r="J418" s="28"/>
      <c r="K418" s="28"/>
      <c r="L418" s="28"/>
      <c r="M418" s="28"/>
      <c r="N418" s="28"/>
      <c r="O418" s="28"/>
      <c r="P418" s="28"/>
      <c r="Q418" s="28"/>
      <c r="R418" s="28"/>
      <c r="S418" s="28"/>
      <c r="T418" s="28"/>
      <c r="U418" s="7"/>
      <c r="V418" s="28"/>
      <c r="W418" s="28"/>
      <c r="X418" s="2"/>
      <c r="Y418" s="2"/>
      <c r="Z418" s="2"/>
    </row>
    <row r="419" spans="1:26" ht="19.5" customHeight="1">
      <c r="A419" s="28"/>
      <c r="B419" s="28"/>
      <c r="C419" s="28"/>
      <c r="D419" s="29"/>
      <c r="E419" s="29"/>
      <c r="F419" s="28"/>
      <c r="G419" s="28"/>
      <c r="H419" s="28"/>
      <c r="I419" s="28"/>
      <c r="J419" s="28"/>
      <c r="K419" s="28"/>
      <c r="L419" s="28"/>
      <c r="M419" s="28"/>
      <c r="N419" s="28"/>
      <c r="O419" s="28"/>
      <c r="P419" s="28"/>
      <c r="Q419" s="28"/>
      <c r="R419" s="28"/>
      <c r="S419" s="28"/>
      <c r="T419" s="28"/>
      <c r="U419" s="7"/>
      <c r="V419" s="28"/>
      <c r="W419" s="28"/>
      <c r="X419" s="2"/>
      <c r="Y419" s="2"/>
      <c r="Z419" s="2"/>
    </row>
    <row r="420" spans="1:26" ht="19.5" customHeight="1">
      <c r="A420" s="28"/>
      <c r="B420" s="28"/>
      <c r="C420" s="28"/>
      <c r="D420" s="29"/>
      <c r="E420" s="29"/>
      <c r="F420" s="28"/>
      <c r="G420" s="28"/>
      <c r="H420" s="28"/>
      <c r="I420" s="28"/>
      <c r="J420" s="28"/>
      <c r="K420" s="28"/>
      <c r="L420" s="28"/>
      <c r="M420" s="28"/>
      <c r="N420" s="28"/>
      <c r="O420" s="28"/>
      <c r="P420" s="28"/>
      <c r="Q420" s="28"/>
      <c r="R420" s="28"/>
      <c r="S420" s="28"/>
      <c r="T420" s="28"/>
      <c r="U420" s="7"/>
      <c r="V420" s="28"/>
      <c r="W420" s="28"/>
      <c r="X420" s="2"/>
      <c r="Y420" s="2"/>
      <c r="Z420" s="2"/>
    </row>
    <row r="421" spans="1:26" ht="19.5" customHeight="1">
      <c r="A421" s="28"/>
      <c r="B421" s="28"/>
      <c r="C421" s="28"/>
      <c r="D421" s="29"/>
      <c r="E421" s="29"/>
      <c r="F421" s="28"/>
      <c r="G421" s="28"/>
      <c r="H421" s="28"/>
      <c r="I421" s="28"/>
      <c r="J421" s="28"/>
      <c r="K421" s="28"/>
      <c r="L421" s="28"/>
      <c r="M421" s="28"/>
      <c r="N421" s="28"/>
      <c r="O421" s="28"/>
      <c r="P421" s="28"/>
      <c r="Q421" s="28"/>
      <c r="R421" s="28"/>
      <c r="S421" s="28"/>
      <c r="T421" s="28"/>
      <c r="U421" s="7"/>
      <c r="V421" s="28"/>
      <c r="W421" s="28"/>
      <c r="X421" s="2"/>
      <c r="Y421" s="2"/>
      <c r="Z421" s="2"/>
    </row>
    <row r="422" spans="1:26" ht="19.5" customHeight="1">
      <c r="A422" s="28"/>
      <c r="B422" s="28"/>
      <c r="C422" s="28"/>
      <c r="D422" s="29"/>
      <c r="E422" s="29"/>
      <c r="F422" s="28"/>
      <c r="G422" s="28"/>
      <c r="H422" s="28"/>
      <c r="I422" s="28"/>
      <c r="J422" s="28"/>
      <c r="K422" s="28"/>
      <c r="L422" s="28"/>
      <c r="M422" s="28"/>
      <c r="N422" s="28"/>
      <c r="O422" s="28"/>
      <c r="P422" s="28"/>
      <c r="Q422" s="28"/>
      <c r="R422" s="28"/>
      <c r="S422" s="28"/>
      <c r="T422" s="28"/>
      <c r="U422" s="7"/>
      <c r="V422" s="28"/>
      <c r="W422" s="28"/>
      <c r="X422" s="2"/>
      <c r="Y422" s="2"/>
      <c r="Z422" s="2"/>
    </row>
    <row r="423" spans="1:26" ht="19.5" customHeight="1">
      <c r="A423" s="28"/>
      <c r="B423" s="28"/>
      <c r="C423" s="28"/>
      <c r="D423" s="29"/>
      <c r="E423" s="29"/>
      <c r="F423" s="28"/>
      <c r="G423" s="28"/>
      <c r="H423" s="28"/>
      <c r="I423" s="28"/>
      <c r="J423" s="28"/>
      <c r="K423" s="28"/>
      <c r="L423" s="28"/>
      <c r="M423" s="28"/>
      <c r="N423" s="28"/>
      <c r="O423" s="28"/>
      <c r="P423" s="28"/>
      <c r="Q423" s="28"/>
      <c r="R423" s="28"/>
      <c r="S423" s="28"/>
      <c r="T423" s="28"/>
      <c r="U423" s="7"/>
      <c r="V423" s="28"/>
      <c r="W423" s="28"/>
      <c r="X423" s="2"/>
      <c r="Y423" s="2"/>
      <c r="Z423" s="2"/>
    </row>
    <row r="424" spans="1:26" ht="19.5" customHeight="1">
      <c r="A424" s="28"/>
      <c r="B424" s="28"/>
      <c r="C424" s="28"/>
      <c r="D424" s="29"/>
      <c r="E424" s="29"/>
      <c r="F424" s="28"/>
      <c r="G424" s="28"/>
      <c r="H424" s="28"/>
      <c r="I424" s="28"/>
      <c r="J424" s="28"/>
      <c r="K424" s="28"/>
      <c r="L424" s="28"/>
      <c r="M424" s="28"/>
      <c r="N424" s="28"/>
      <c r="O424" s="28"/>
      <c r="P424" s="28"/>
      <c r="Q424" s="28"/>
      <c r="R424" s="28"/>
      <c r="S424" s="28"/>
      <c r="T424" s="28"/>
      <c r="U424" s="7"/>
      <c r="V424" s="28"/>
      <c r="W424" s="28"/>
      <c r="X424" s="2"/>
      <c r="Y424" s="2"/>
      <c r="Z424" s="2"/>
    </row>
    <row r="425" spans="1:26" ht="19.5" customHeight="1">
      <c r="A425" s="28"/>
      <c r="B425" s="28"/>
      <c r="C425" s="28"/>
      <c r="D425" s="29"/>
      <c r="E425" s="29"/>
      <c r="F425" s="28"/>
      <c r="G425" s="28"/>
      <c r="H425" s="28"/>
      <c r="I425" s="28"/>
      <c r="J425" s="28"/>
      <c r="K425" s="28"/>
      <c r="L425" s="28"/>
      <c r="M425" s="28"/>
      <c r="N425" s="28"/>
      <c r="O425" s="28"/>
      <c r="P425" s="28"/>
      <c r="Q425" s="28"/>
      <c r="R425" s="28"/>
      <c r="S425" s="28"/>
      <c r="T425" s="28"/>
      <c r="U425" s="7"/>
      <c r="V425" s="28"/>
      <c r="W425" s="28"/>
      <c r="X425" s="2"/>
      <c r="Y425" s="2"/>
      <c r="Z425" s="2"/>
    </row>
    <row r="426" spans="1:26" ht="19.5" customHeight="1">
      <c r="A426" s="28"/>
      <c r="B426" s="28"/>
      <c r="C426" s="28"/>
      <c r="D426" s="29"/>
      <c r="E426" s="29"/>
      <c r="F426" s="28"/>
      <c r="G426" s="28"/>
      <c r="H426" s="28"/>
      <c r="I426" s="28"/>
      <c r="J426" s="28"/>
      <c r="K426" s="28"/>
      <c r="L426" s="28"/>
      <c r="M426" s="28"/>
      <c r="N426" s="28"/>
      <c r="O426" s="28"/>
      <c r="P426" s="28"/>
      <c r="Q426" s="28"/>
      <c r="R426" s="28"/>
      <c r="S426" s="28"/>
      <c r="T426" s="28"/>
      <c r="U426" s="7"/>
      <c r="V426" s="28"/>
      <c r="W426" s="28"/>
      <c r="X426" s="2"/>
      <c r="Y426" s="2"/>
      <c r="Z426" s="2"/>
    </row>
    <row r="427" spans="1:26" ht="19.5" customHeight="1">
      <c r="A427" s="28"/>
      <c r="B427" s="28"/>
      <c r="C427" s="28"/>
      <c r="D427" s="29"/>
      <c r="E427" s="29"/>
      <c r="F427" s="28"/>
      <c r="G427" s="28"/>
      <c r="H427" s="28"/>
      <c r="I427" s="28"/>
      <c r="J427" s="28"/>
      <c r="K427" s="28"/>
      <c r="L427" s="28"/>
      <c r="M427" s="28"/>
      <c r="N427" s="28"/>
      <c r="O427" s="28"/>
      <c r="P427" s="28"/>
      <c r="Q427" s="28"/>
      <c r="R427" s="28"/>
      <c r="S427" s="28"/>
      <c r="T427" s="28"/>
      <c r="U427" s="7"/>
      <c r="V427" s="28"/>
      <c r="W427" s="28"/>
      <c r="X427" s="2"/>
      <c r="Y427" s="2"/>
      <c r="Z427" s="2"/>
    </row>
    <row r="428" spans="1:26" ht="19.5" customHeight="1">
      <c r="A428" s="28"/>
      <c r="B428" s="28"/>
      <c r="C428" s="28"/>
      <c r="D428" s="29"/>
      <c r="E428" s="29"/>
      <c r="F428" s="28"/>
      <c r="G428" s="28"/>
      <c r="H428" s="28"/>
      <c r="I428" s="28"/>
      <c r="J428" s="28"/>
      <c r="K428" s="28"/>
      <c r="L428" s="28"/>
      <c r="M428" s="28"/>
      <c r="N428" s="28"/>
      <c r="O428" s="28"/>
      <c r="P428" s="28"/>
      <c r="Q428" s="28"/>
      <c r="R428" s="28"/>
      <c r="S428" s="28"/>
      <c r="T428" s="28"/>
      <c r="U428" s="7"/>
      <c r="V428" s="28"/>
      <c r="W428" s="28"/>
      <c r="X428" s="2"/>
      <c r="Y428" s="2"/>
      <c r="Z428" s="2"/>
    </row>
    <row r="429" spans="1:26" ht="19.5" customHeight="1">
      <c r="A429" s="28"/>
      <c r="B429" s="28"/>
      <c r="C429" s="28"/>
      <c r="D429" s="29"/>
      <c r="E429" s="29"/>
      <c r="F429" s="28"/>
      <c r="G429" s="28"/>
      <c r="H429" s="28"/>
      <c r="I429" s="28"/>
      <c r="J429" s="28"/>
      <c r="K429" s="28"/>
      <c r="L429" s="28"/>
      <c r="M429" s="28"/>
      <c r="N429" s="28"/>
      <c r="O429" s="28"/>
      <c r="P429" s="28"/>
      <c r="Q429" s="28"/>
      <c r="R429" s="28"/>
      <c r="S429" s="28"/>
      <c r="T429" s="28"/>
      <c r="U429" s="7"/>
      <c r="V429" s="28"/>
      <c r="W429" s="28"/>
      <c r="X429" s="2"/>
      <c r="Y429" s="2"/>
      <c r="Z429" s="2"/>
    </row>
    <row r="430" spans="1:26" ht="19.5" customHeight="1">
      <c r="A430" s="28"/>
      <c r="B430" s="28"/>
      <c r="C430" s="28"/>
      <c r="D430" s="29"/>
      <c r="E430" s="29"/>
      <c r="F430" s="28"/>
      <c r="G430" s="28"/>
      <c r="H430" s="28"/>
      <c r="I430" s="28"/>
      <c r="J430" s="28"/>
      <c r="K430" s="28"/>
      <c r="L430" s="28"/>
      <c r="M430" s="28"/>
      <c r="N430" s="28"/>
      <c r="O430" s="28"/>
      <c r="P430" s="28"/>
      <c r="Q430" s="28"/>
      <c r="R430" s="28"/>
      <c r="S430" s="28"/>
      <c r="T430" s="28"/>
      <c r="U430" s="7"/>
      <c r="V430" s="28"/>
      <c r="W430" s="28"/>
      <c r="X430" s="2"/>
      <c r="Y430" s="2"/>
      <c r="Z430" s="2"/>
    </row>
    <row r="431" spans="1:26" ht="19.5" customHeight="1">
      <c r="A431" s="28"/>
      <c r="B431" s="28"/>
      <c r="C431" s="28"/>
      <c r="D431" s="29"/>
      <c r="E431" s="29"/>
      <c r="F431" s="28"/>
      <c r="G431" s="28"/>
      <c r="H431" s="28"/>
      <c r="I431" s="28"/>
      <c r="J431" s="28"/>
      <c r="K431" s="28"/>
      <c r="L431" s="28"/>
      <c r="M431" s="28"/>
      <c r="N431" s="28"/>
      <c r="O431" s="28"/>
      <c r="P431" s="28"/>
      <c r="Q431" s="28"/>
      <c r="R431" s="28"/>
      <c r="S431" s="28"/>
      <c r="T431" s="28"/>
      <c r="U431" s="7"/>
      <c r="V431" s="28"/>
      <c r="W431" s="28"/>
      <c r="X431" s="2"/>
      <c r="Y431" s="2"/>
      <c r="Z431" s="2"/>
    </row>
    <row r="432" spans="1:26" ht="19.5" customHeight="1">
      <c r="A432" s="28"/>
      <c r="B432" s="28"/>
      <c r="C432" s="28"/>
      <c r="D432" s="29"/>
      <c r="E432" s="29"/>
      <c r="F432" s="28"/>
      <c r="G432" s="28"/>
      <c r="H432" s="28"/>
      <c r="I432" s="28"/>
      <c r="J432" s="28"/>
      <c r="K432" s="28"/>
      <c r="L432" s="28"/>
      <c r="M432" s="28"/>
      <c r="N432" s="28"/>
      <c r="O432" s="28"/>
      <c r="P432" s="28"/>
      <c r="Q432" s="28"/>
      <c r="R432" s="28"/>
      <c r="S432" s="28"/>
      <c r="T432" s="28"/>
      <c r="U432" s="7"/>
      <c r="V432" s="28"/>
      <c r="W432" s="28"/>
      <c r="X432" s="2"/>
      <c r="Y432" s="2"/>
      <c r="Z432" s="2"/>
    </row>
    <row r="433" spans="1:26" ht="19.5" customHeight="1">
      <c r="A433" s="28"/>
      <c r="B433" s="28"/>
      <c r="C433" s="28"/>
      <c r="D433" s="29"/>
      <c r="E433" s="29"/>
      <c r="F433" s="28"/>
      <c r="G433" s="28"/>
      <c r="H433" s="28"/>
      <c r="I433" s="28"/>
      <c r="J433" s="28"/>
      <c r="K433" s="28"/>
      <c r="L433" s="28"/>
      <c r="M433" s="28"/>
      <c r="N433" s="28"/>
      <c r="O433" s="28"/>
      <c r="P433" s="28"/>
      <c r="Q433" s="28"/>
      <c r="R433" s="28"/>
      <c r="S433" s="28"/>
      <c r="T433" s="28"/>
      <c r="U433" s="7"/>
      <c r="V433" s="28"/>
      <c r="W433" s="28"/>
      <c r="X433" s="2"/>
      <c r="Y433" s="2"/>
      <c r="Z433" s="2"/>
    </row>
    <row r="434" spans="1:26" ht="19.5" customHeight="1">
      <c r="A434" s="28"/>
      <c r="B434" s="28"/>
      <c r="C434" s="28"/>
      <c r="D434" s="29"/>
      <c r="E434" s="29"/>
      <c r="F434" s="28"/>
      <c r="G434" s="28"/>
      <c r="H434" s="28"/>
      <c r="I434" s="28"/>
      <c r="J434" s="28"/>
      <c r="K434" s="28"/>
      <c r="L434" s="28"/>
      <c r="M434" s="28"/>
      <c r="N434" s="28"/>
      <c r="O434" s="28"/>
      <c r="P434" s="28"/>
      <c r="Q434" s="28"/>
      <c r="R434" s="28"/>
      <c r="S434" s="28"/>
      <c r="T434" s="28"/>
      <c r="U434" s="7"/>
      <c r="V434" s="28"/>
      <c r="W434" s="28"/>
      <c r="X434" s="2"/>
      <c r="Y434" s="2"/>
      <c r="Z434" s="2"/>
    </row>
    <row r="435" spans="1:26" ht="19.5" customHeight="1">
      <c r="A435" s="28"/>
      <c r="B435" s="28"/>
      <c r="C435" s="28"/>
      <c r="D435" s="29"/>
      <c r="E435" s="29"/>
      <c r="F435" s="28"/>
      <c r="G435" s="28"/>
      <c r="H435" s="28"/>
      <c r="I435" s="28"/>
      <c r="J435" s="28"/>
      <c r="K435" s="28"/>
      <c r="L435" s="28"/>
      <c r="M435" s="28"/>
      <c r="N435" s="28"/>
      <c r="O435" s="28"/>
      <c r="P435" s="28"/>
      <c r="Q435" s="28"/>
      <c r="R435" s="28"/>
      <c r="S435" s="28"/>
      <c r="T435" s="28"/>
      <c r="U435" s="7"/>
      <c r="V435" s="28"/>
      <c r="W435" s="28"/>
      <c r="X435" s="2"/>
      <c r="Y435" s="2"/>
      <c r="Z435" s="2"/>
    </row>
    <row r="436" spans="1:26" ht="19.5" customHeight="1">
      <c r="A436" s="28"/>
      <c r="B436" s="28"/>
      <c r="C436" s="28"/>
      <c r="D436" s="29"/>
      <c r="E436" s="29"/>
      <c r="F436" s="28"/>
      <c r="G436" s="28"/>
      <c r="H436" s="28"/>
      <c r="I436" s="28"/>
      <c r="J436" s="28"/>
      <c r="K436" s="28"/>
      <c r="L436" s="28"/>
      <c r="M436" s="28"/>
      <c r="N436" s="28"/>
      <c r="O436" s="28"/>
      <c r="P436" s="28"/>
      <c r="Q436" s="28"/>
      <c r="R436" s="28"/>
      <c r="S436" s="28"/>
      <c r="T436" s="28"/>
      <c r="U436" s="7"/>
      <c r="V436" s="28"/>
      <c r="W436" s="28"/>
      <c r="X436" s="2"/>
      <c r="Y436" s="2"/>
      <c r="Z436" s="2"/>
    </row>
    <row r="437" spans="1:26" ht="19.5" customHeight="1">
      <c r="A437" s="28"/>
      <c r="B437" s="28"/>
      <c r="C437" s="28"/>
      <c r="D437" s="29"/>
      <c r="E437" s="29"/>
      <c r="F437" s="28"/>
      <c r="G437" s="28"/>
      <c r="H437" s="28"/>
      <c r="I437" s="28"/>
      <c r="J437" s="28"/>
      <c r="K437" s="28"/>
      <c r="L437" s="28"/>
      <c r="M437" s="28"/>
      <c r="N437" s="28"/>
      <c r="O437" s="28"/>
      <c r="P437" s="28"/>
      <c r="Q437" s="28"/>
      <c r="R437" s="28"/>
      <c r="S437" s="28"/>
      <c r="T437" s="28"/>
      <c r="U437" s="7"/>
      <c r="V437" s="28"/>
      <c r="W437" s="28"/>
      <c r="X437" s="2"/>
      <c r="Y437" s="2"/>
      <c r="Z437" s="2"/>
    </row>
    <row r="438" spans="1:26" ht="19.5" customHeight="1">
      <c r="A438" s="28"/>
      <c r="B438" s="28"/>
      <c r="C438" s="28"/>
      <c r="D438" s="29"/>
      <c r="E438" s="29"/>
      <c r="F438" s="28"/>
      <c r="G438" s="28"/>
      <c r="H438" s="28"/>
      <c r="I438" s="28"/>
      <c r="J438" s="28"/>
      <c r="K438" s="28"/>
      <c r="L438" s="28"/>
      <c r="M438" s="28"/>
      <c r="N438" s="28"/>
      <c r="O438" s="28"/>
      <c r="P438" s="28"/>
      <c r="Q438" s="28"/>
      <c r="R438" s="28"/>
      <c r="S438" s="28"/>
      <c r="T438" s="28"/>
      <c r="U438" s="7"/>
      <c r="V438" s="28"/>
      <c r="W438" s="28"/>
      <c r="X438" s="2"/>
      <c r="Y438" s="2"/>
      <c r="Z438" s="2"/>
    </row>
    <row r="439" spans="1:26" ht="19.5" customHeight="1">
      <c r="A439" s="28"/>
      <c r="B439" s="28"/>
      <c r="C439" s="28"/>
      <c r="D439" s="29"/>
      <c r="E439" s="29"/>
      <c r="F439" s="28"/>
      <c r="G439" s="28"/>
      <c r="H439" s="28"/>
      <c r="I439" s="28"/>
      <c r="J439" s="28"/>
      <c r="K439" s="28"/>
      <c r="L439" s="28"/>
      <c r="M439" s="28"/>
      <c r="N439" s="28"/>
      <c r="O439" s="28"/>
      <c r="P439" s="28"/>
      <c r="Q439" s="28"/>
      <c r="R439" s="28"/>
      <c r="S439" s="28"/>
      <c r="T439" s="28"/>
      <c r="U439" s="7"/>
      <c r="V439" s="28"/>
      <c r="W439" s="28"/>
      <c r="X439" s="2"/>
      <c r="Y439" s="2"/>
      <c r="Z439" s="2"/>
    </row>
    <row r="440" spans="1:26" ht="19.5" customHeight="1">
      <c r="A440" s="28"/>
      <c r="B440" s="28"/>
      <c r="C440" s="28"/>
      <c r="D440" s="29"/>
      <c r="E440" s="29"/>
      <c r="F440" s="28"/>
      <c r="G440" s="28"/>
      <c r="H440" s="28"/>
      <c r="I440" s="28"/>
      <c r="J440" s="28"/>
      <c r="K440" s="28"/>
      <c r="L440" s="28"/>
      <c r="M440" s="28"/>
      <c r="N440" s="28"/>
      <c r="O440" s="28"/>
      <c r="P440" s="28"/>
      <c r="Q440" s="28"/>
      <c r="R440" s="28"/>
      <c r="S440" s="28"/>
      <c r="T440" s="28"/>
      <c r="U440" s="7"/>
      <c r="V440" s="28"/>
      <c r="W440" s="28"/>
      <c r="X440" s="2"/>
      <c r="Y440" s="2"/>
      <c r="Z440" s="2"/>
    </row>
    <row r="441" spans="1:26" ht="19.5" customHeight="1">
      <c r="A441" s="28"/>
      <c r="B441" s="28"/>
      <c r="C441" s="28"/>
      <c r="D441" s="29"/>
      <c r="E441" s="29"/>
      <c r="F441" s="28"/>
      <c r="G441" s="28"/>
      <c r="H441" s="28"/>
      <c r="I441" s="28"/>
      <c r="J441" s="28"/>
      <c r="K441" s="28"/>
      <c r="L441" s="28"/>
      <c r="M441" s="28"/>
      <c r="N441" s="28"/>
      <c r="O441" s="28"/>
      <c r="P441" s="28"/>
      <c r="Q441" s="28"/>
      <c r="R441" s="28"/>
      <c r="S441" s="28"/>
      <c r="T441" s="28"/>
      <c r="U441" s="7"/>
      <c r="V441" s="28"/>
      <c r="W441" s="28"/>
      <c r="X441" s="2"/>
      <c r="Y441" s="2"/>
      <c r="Z441" s="2"/>
    </row>
    <row r="442" spans="1:26" ht="19.5" customHeight="1">
      <c r="A442" s="28"/>
      <c r="B442" s="28"/>
      <c r="C442" s="28"/>
      <c r="D442" s="29"/>
      <c r="E442" s="29"/>
      <c r="F442" s="28"/>
      <c r="G442" s="28"/>
      <c r="H442" s="28"/>
      <c r="I442" s="28"/>
      <c r="J442" s="28"/>
      <c r="K442" s="28"/>
      <c r="L442" s="28"/>
      <c r="M442" s="28"/>
      <c r="N442" s="28"/>
      <c r="O442" s="28"/>
      <c r="P442" s="28"/>
      <c r="Q442" s="28"/>
      <c r="R442" s="28"/>
      <c r="S442" s="28"/>
      <c r="T442" s="28"/>
      <c r="U442" s="7"/>
      <c r="V442" s="28"/>
      <c r="W442" s="28"/>
      <c r="X442" s="2"/>
      <c r="Y442" s="2"/>
      <c r="Z442" s="2"/>
    </row>
    <row r="443" spans="1:26" ht="19.5" customHeight="1">
      <c r="A443" s="28"/>
      <c r="B443" s="28"/>
      <c r="C443" s="28"/>
      <c r="D443" s="29"/>
      <c r="E443" s="29"/>
      <c r="F443" s="28"/>
      <c r="G443" s="28"/>
      <c r="H443" s="28"/>
      <c r="I443" s="28"/>
      <c r="J443" s="28"/>
      <c r="K443" s="28"/>
      <c r="L443" s="28"/>
      <c r="M443" s="28"/>
      <c r="N443" s="28"/>
      <c r="O443" s="28"/>
      <c r="P443" s="28"/>
      <c r="Q443" s="28"/>
      <c r="R443" s="28"/>
      <c r="S443" s="28"/>
      <c r="T443" s="28"/>
      <c r="U443" s="7"/>
      <c r="V443" s="28"/>
      <c r="W443" s="28"/>
      <c r="X443" s="2"/>
      <c r="Y443" s="2"/>
      <c r="Z443" s="2"/>
    </row>
    <row r="444" spans="1:26" ht="19.5" customHeight="1">
      <c r="A444" s="28"/>
      <c r="B444" s="28"/>
      <c r="C444" s="28"/>
      <c r="D444" s="29"/>
      <c r="E444" s="29"/>
      <c r="F444" s="28"/>
      <c r="G444" s="28"/>
      <c r="H444" s="28"/>
      <c r="I444" s="28"/>
      <c r="J444" s="28"/>
      <c r="K444" s="28"/>
      <c r="L444" s="28"/>
      <c r="M444" s="28"/>
      <c r="N444" s="28"/>
      <c r="O444" s="28"/>
      <c r="P444" s="28"/>
      <c r="Q444" s="28"/>
      <c r="R444" s="28"/>
      <c r="S444" s="28"/>
      <c r="T444" s="28"/>
      <c r="U444" s="7"/>
      <c r="V444" s="28"/>
      <c r="W444" s="28"/>
      <c r="X444" s="2"/>
      <c r="Y444" s="2"/>
      <c r="Z444" s="2"/>
    </row>
    <row r="445" spans="1:26" ht="19.5" customHeight="1">
      <c r="A445" s="28"/>
      <c r="B445" s="28"/>
      <c r="C445" s="28"/>
      <c r="D445" s="29"/>
      <c r="E445" s="29"/>
      <c r="F445" s="28"/>
      <c r="G445" s="28"/>
      <c r="H445" s="28"/>
      <c r="I445" s="28"/>
      <c r="J445" s="28"/>
      <c r="K445" s="28"/>
      <c r="L445" s="28"/>
      <c r="M445" s="28"/>
      <c r="N445" s="28"/>
      <c r="O445" s="28"/>
      <c r="P445" s="28"/>
      <c r="Q445" s="28"/>
      <c r="R445" s="28"/>
      <c r="S445" s="28"/>
      <c r="T445" s="28"/>
      <c r="U445" s="7"/>
      <c r="V445" s="28"/>
      <c r="W445" s="28"/>
      <c r="X445" s="2"/>
      <c r="Y445" s="2"/>
      <c r="Z445" s="2"/>
    </row>
    <row r="446" spans="1:26" ht="19.5" customHeight="1">
      <c r="A446" s="28"/>
      <c r="B446" s="28"/>
      <c r="C446" s="28"/>
      <c r="D446" s="29"/>
      <c r="E446" s="29"/>
      <c r="F446" s="28"/>
      <c r="G446" s="28"/>
      <c r="H446" s="28"/>
      <c r="I446" s="28"/>
      <c r="J446" s="28"/>
      <c r="K446" s="28"/>
      <c r="L446" s="28"/>
      <c r="M446" s="28"/>
      <c r="N446" s="28"/>
      <c r="O446" s="28"/>
      <c r="P446" s="28"/>
      <c r="Q446" s="28"/>
      <c r="R446" s="28"/>
      <c r="S446" s="28"/>
      <c r="T446" s="28"/>
      <c r="U446" s="7"/>
      <c r="V446" s="28"/>
      <c r="W446" s="28"/>
      <c r="X446" s="2"/>
      <c r="Y446" s="2"/>
      <c r="Z446" s="2"/>
    </row>
    <row r="447" spans="1:26" ht="19.5" customHeight="1">
      <c r="A447" s="28"/>
      <c r="B447" s="28"/>
      <c r="C447" s="28"/>
      <c r="D447" s="29"/>
      <c r="E447" s="29"/>
      <c r="F447" s="28"/>
      <c r="G447" s="28"/>
      <c r="H447" s="28"/>
      <c r="I447" s="28"/>
      <c r="J447" s="28"/>
      <c r="K447" s="28"/>
      <c r="L447" s="28"/>
      <c r="M447" s="28"/>
      <c r="N447" s="28"/>
      <c r="O447" s="28"/>
      <c r="P447" s="28"/>
      <c r="Q447" s="28"/>
      <c r="R447" s="28"/>
      <c r="S447" s="28"/>
      <c r="T447" s="28"/>
      <c r="U447" s="7"/>
      <c r="V447" s="28"/>
      <c r="W447" s="28"/>
      <c r="X447" s="2"/>
      <c r="Y447" s="2"/>
      <c r="Z447" s="2"/>
    </row>
    <row r="448" spans="1:26" ht="19.5" customHeight="1">
      <c r="A448" s="28"/>
      <c r="B448" s="28"/>
      <c r="C448" s="28"/>
      <c r="D448" s="29"/>
      <c r="E448" s="29"/>
      <c r="F448" s="28"/>
      <c r="G448" s="28"/>
      <c r="H448" s="28"/>
      <c r="I448" s="28"/>
      <c r="J448" s="28"/>
      <c r="K448" s="28"/>
      <c r="L448" s="28"/>
      <c r="M448" s="28"/>
      <c r="N448" s="28"/>
      <c r="O448" s="28"/>
      <c r="P448" s="28"/>
      <c r="Q448" s="28"/>
      <c r="R448" s="28"/>
      <c r="S448" s="28"/>
      <c r="T448" s="28"/>
      <c r="U448" s="7"/>
      <c r="V448" s="28"/>
      <c r="W448" s="28"/>
      <c r="X448" s="2"/>
      <c r="Y448" s="2"/>
      <c r="Z448" s="2"/>
    </row>
    <row r="449" spans="1:26" ht="19.5" customHeight="1">
      <c r="A449" s="28"/>
      <c r="B449" s="28"/>
      <c r="C449" s="28"/>
      <c r="D449" s="29"/>
      <c r="E449" s="29"/>
      <c r="F449" s="28"/>
      <c r="G449" s="28"/>
      <c r="H449" s="28"/>
      <c r="I449" s="28"/>
      <c r="J449" s="28"/>
      <c r="K449" s="28"/>
      <c r="L449" s="28"/>
      <c r="M449" s="28"/>
      <c r="N449" s="28"/>
      <c r="O449" s="28"/>
      <c r="P449" s="28"/>
      <c r="Q449" s="28"/>
      <c r="R449" s="28"/>
      <c r="S449" s="28"/>
      <c r="T449" s="28"/>
      <c r="U449" s="7"/>
      <c r="V449" s="28"/>
      <c r="W449" s="28"/>
      <c r="X449" s="2"/>
      <c r="Y449" s="2"/>
      <c r="Z449" s="2"/>
    </row>
    <row r="450" spans="1:26" ht="19.5" customHeight="1">
      <c r="A450" s="28"/>
      <c r="B450" s="28"/>
      <c r="C450" s="28"/>
      <c r="D450" s="29"/>
      <c r="E450" s="29"/>
      <c r="F450" s="28"/>
      <c r="G450" s="28"/>
      <c r="H450" s="28"/>
      <c r="I450" s="28"/>
      <c r="J450" s="28"/>
      <c r="K450" s="28"/>
      <c r="L450" s="28"/>
      <c r="M450" s="28"/>
      <c r="N450" s="28"/>
      <c r="O450" s="28"/>
      <c r="P450" s="28"/>
      <c r="Q450" s="28"/>
      <c r="R450" s="28"/>
      <c r="S450" s="28"/>
      <c r="T450" s="28"/>
      <c r="U450" s="7"/>
      <c r="V450" s="28"/>
      <c r="W450" s="28"/>
      <c r="X450" s="2"/>
      <c r="Y450" s="2"/>
      <c r="Z450" s="2"/>
    </row>
    <row r="451" spans="1:26" ht="19.5" customHeight="1">
      <c r="A451" s="28"/>
      <c r="B451" s="28"/>
      <c r="C451" s="28"/>
      <c r="D451" s="29"/>
      <c r="E451" s="29"/>
      <c r="F451" s="28"/>
      <c r="G451" s="28"/>
      <c r="H451" s="28"/>
      <c r="I451" s="28"/>
      <c r="J451" s="28"/>
      <c r="K451" s="28"/>
      <c r="L451" s="28"/>
      <c r="M451" s="28"/>
      <c r="N451" s="28"/>
      <c r="O451" s="28"/>
      <c r="P451" s="28"/>
      <c r="Q451" s="28"/>
      <c r="R451" s="28"/>
      <c r="S451" s="28"/>
      <c r="T451" s="28"/>
      <c r="U451" s="7"/>
      <c r="V451" s="28"/>
      <c r="W451" s="28"/>
      <c r="X451" s="2"/>
      <c r="Y451" s="2"/>
      <c r="Z451" s="2"/>
    </row>
    <row r="452" spans="1:26" ht="19.5" customHeight="1">
      <c r="A452" s="28"/>
      <c r="B452" s="28"/>
      <c r="C452" s="28"/>
      <c r="D452" s="29"/>
      <c r="E452" s="29"/>
      <c r="F452" s="28"/>
      <c r="G452" s="28"/>
      <c r="H452" s="28"/>
      <c r="I452" s="28"/>
      <c r="J452" s="28"/>
      <c r="K452" s="28"/>
      <c r="L452" s="28"/>
      <c r="M452" s="28"/>
      <c r="N452" s="28"/>
      <c r="O452" s="28"/>
      <c r="P452" s="28"/>
      <c r="Q452" s="28"/>
      <c r="R452" s="28"/>
      <c r="S452" s="28"/>
      <c r="T452" s="28"/>
      <c r="U452" s="7"/>
      <c r="V452" s="28"/>
      <c r="W452" s="28"/>
      <c r="X452" s="2"/>
      <c r="Y452" s="2"/>
      <c r="Z452" s="2"/>
    </row>
    <row r="453" spans="1:26" ht="19.5" customHeight="1">
      <c r="A453" s="28"/>
      <c r="B453" s="28"/>
      <c r="C453" s="28"/>
      <c r="D453" s="29"/>
      <c r="E453" s="29"/>
      <c r="F453" s="28"/>
      <c r="G453" s="28"/>
      <c r="H453" s="28"/>
      <c r="I453" s="28"/>
      <c r="J453" s="28"/>
      <c r="K453" s="28"/>
      <c r="L453" s="28"/>
      <c r="M453" s="28"/>
      <c r="N453" s="28"/>
      <c r="O453" s="28"/>
      <c r="P453" s="28"/>
      <c r="Q453" s="28"/>
      <c r="R453" s="28"/>
      <c r="S453" s="28"/>
      <c r="T453" s="28"/>
      <c r="U453" s="7"/>
      <c r="V453" s="28"/>
      <c r="W453" s="28"/>
      <c r="X453" s="2"/>
      <c r="Y453" s="2"/>
      <c r="Z453" s="2"/>
    </row>
    <row r="454" spans="1:26" ht="19.5" customHeight="1">
      <c r="A454" s="28"/>
      <c r="B454" s="28"/>
      <c r="C454" s="28"/>
      <c r="D454" s="29"/>
      <c r="E454" s="29"/>
      <c r="F454" s="28"/>
      <c r="G454" s="28"/>
      <c r="H454" s="28"/>
      <c r="I454" s="28"/>
      <c r="J454" s="28"/>
      <c r="K454" s="28"/>
      <c r="L454" s="28"/>
      <c r="M454" s="28"/>
      <c r="N454" s="28"/>
      <c r="O454" s="28"/>
      <c r="P454" s="28"/>
      <c r="Q454" s="28"/>
      <c r="R454" s="28"/>
      <c r="S454" s="28"/>
      <c r="T454" s="28"/>
      <c r="U454" s="7"/>
      <c r="V454" s="28"/>
      <c r="W454" s="28"/>
      <c r="X454" s="2"/>
      <c r="Y454" s="2"/>
      <c r="Z454" s="2"/>
    </row>
    <row r="455" spans="1:26" ht="19.5" customHeight="1">
      <c r="A455" s="28"/>
      <c r="B455" s="28"/>
      <c r="C455" s="28"/>
      <c r="D455" s="29"/>
      <c r="E455" s="29"/>
      <c r="F455" s="28"/>
      <c r="G455" s="28"/>
      <c r="H455" s="28"/>
      <c r="I455" s="28"/>
      <c r="J455" s="28"/>
      <c r="K455" s="28"/>
      <c r="L455" s="28"/>
      <c r="M455" s="28"/>
      <c r="N455" s="28"/>
      <c r="O455" s="28"/>
      <c r="P455" s="28"/>
      <c r="Q455" s="28"/>
      <c r="R455" s="28"/>
      <c r="S455" s="28"/>
      <c r="T455" s="28"/>
      <c r="U455" s="7"/>
      <c r="V455" s="28"/>
      <c r="W455" s="28"/>
      <c r="X455" s="2"/>
      <c r="Y455" s="2"/>
      <c r="Z455" s="2"/>
    </row>
    <row r="456" spans="1:26" ht="19.5" customHeight="1">
      <c r="A456" s="28"/>
      <c r="B456" s="28"/>
      <c r="C456" s="28"/>
      <c r="D456" s="29"/>
      <c r="E456" s="29"/>
      <c r="F456" s="28"/>
      <c r="G456" s="28"/>
      <c r="H456" s="28"/>
      <c r="I456" s="28"/>
      <c r="J456" s="28"/>
      <c r="K456" s="28"/>
      <c r="L456" s="28"/>
      <c r="M456" s="28"/>
      <c r="N456" s="28"/>
      <c r="O456" s="28"/>
      <c r="P456" s="28"/>
      <c r="Q456" s="28"/>
      <c r="R456" s="28"/>
      <c r="S456" s="28"/>
      <c r="T456" s="28"/>
      <c r="U456" s="7"/>
      <c r="V456" s="28"/>
      <c r="W456" s="28"/>
      <c r="X456" s="2"/>
      <c r="Y456" s="2"/>
      <c r="Z456" s="2"/>
    </row>
    <row r="457" spans="1:26" ht="19.5" customHeight="1">
      <c r="A457" s="28"/>
      <c r="B457" s="28"/>
      <c r="C457" s="28"/>
      <c r="D457" s="29"/>
      <c r="E457" s="29"/>
      <c r="F457" s="28"/>
      <c r="G457" s="28"/>
      <c r="H457" s="28"/>
      <c r="I457" s="28"/>
      <c r="J457" s="28"/>
      <c r="K457" s="28"/>
      <c r="L457" s="28"/>
      <c r="M457" s="28"/>
      <c r="N457" s="28"/>
      <c r="O457" s="28"/>
      <c r="P457" s="28"/>
      <c r="Q457" s="28"/>
      <c r="R457" s="28"/>
      <c r="S457" s="28"/>
      <c r="T457" s="28"/>
      <c r="U457" s="7"/>
      <c r="V457" s="28"/>
      <c r="W457" s="28"/>
      <c r="X457" s="2"/>
      <c r="Y457" s="2"/>
      <c r="Z457" s="2"/>
    </row>
    <row r="458" spans="1:26" ht="19.5" customHeight="1">
      <c r="A458" s="28"/>
      <c r="B458" s="28"/>
      <c r="C458" s="28"/>
      <c r="D458" s="29"/>
      <c r="E458" s="29"/>
      <c r="F458" s="28"/>
      <c r="G458" s="28"/>
      <c r="H458" s="28"/>
      <c r="I458" s="28"/>
      <c r="J458" s="28"/>
      <c r="K458" s="28"/>
      <c r="L458" s="28"/>
      <c r="M458" s="28"/>
      <c r="N458" s="28"/>
      <c r="O458" s="28"/>
      <c r="P458" s="28"/>
      <c r="Q458" s="28"/>
      <c r="R458" s="28"/>
      <c r="S458" s="28"/>
      <c r="T458" s="28"/>
      <c r="U458" s="7"/>
      <c r="V458" s="28"/>
      <c r="W458" s="28"/>
      <c r="X458" s="2"/>
      <c r="Y458" s="2"/>
      <c r="Z458" s="2"/>
    </row>
    <row r="459" spans="1:26" ht="19.5" customHeight="1">
      <c r="A459" s="28"/>
      <c r="B459" s="28"/>
      <c r="C459" s="28"/>
      <c r="D459" s="29"/>
      <c r="E459" s="29"/>
      <c r="F459" s="28"/>
      <c r="G459" s="28"/>
      <c r="H459" s="28"/>
      <c r="I459" s="28"/>
      <c r="J459" s="28"/>
      <c r="K459" s="28"/>
      <c r="L459" s="28"/>
      <c r="M459" s="28"/>
      <c r="N459" s="28"/>
      <c r="O459" s="28"/>
      <c r="P459" s="28"/>
      <c r="Q459" s="28"/>
      <c r="R459" s="28"/>
      <c r="S459" s="28"/>
      <c r="T459" s="28"/>
      <c r="U459" s="7"/>
      <c r="V459" s="28"/>
      <c r="W459" s="28"/>
      <c r="X459" s="2"/>
      <c r="Y459" s="2"/>
      <c r="Z459" s="2"/>
    </row>
    <row r="460" spans="1:26" ht="19.5" customHeight="1">
      <c r="A460" s="28"/>
      <c r="B460" s="28"/>
      <c r="C460" s="28"/>
      <c r="D460" s="29"/>
      <c r="E460" s="29"/>
      <c r="F460" s="28"/>
      <c r="G460" s="28"/>
      <c r="H460" s="28"/>
      <c r="I460" s="28"/>
      <c r="J460" s="28"/>
      <c r="K460" s="28"/>
      <c r="L460" s="28"/>
      <c r="M460" s="28"/>
      <c r="N460" s="28"/>
      <c r="O460" s="28"/>
      <c r="P460" s="28"/>
      <c r="Q460" s="28"/>
      <c r="R460" s="28"/>
      <c r="S460" s="28"/>
      <c r="T460" s="28"/>
      <c r="U460" s="7"/>
      <c r="V460" s="28"/>
      <c r="W460" s="28"/>
      <c r="X460" s="2"/>
      <c r="Y460" s="2"/>
      <c r="Z460" s="2"/>
    </row>
    <row r="461" spans="1:26" ht="19.5" customHeight="1">
      <c r="A461" s="28"/>
      <c r="B461" s="28"/>
      <c r="C461" s="28"/>
      <c r="D461" s="29"/>
      <c r="E461" s="29"/>
      <c r="F461" s="28"/>
      <c r="G461" s="28"/>
      <c r="H461" s="28"/>
      <c r="I461" s="28"/>
      <c r="J461" s="28"/>
      <c r="K461" s="28"/>
      <c r="L461" s="28"/>
      <c r="M461" s="28"/>
      <c r="N461" s="28"/>
      <c r="O461" s="28"/>
      <c r="P461" s="28"/>
      <c r="Q461" s="28"/>
      <c r="R461" s="28"/>
      <c r="S461" s="28"/>
      <c r="T461" s="28"/>
      <c r="U461" s="7"/>
      <c r="V461" s="28"/>
      <c r="W461" s="28"/>
      <c r="X461" s="2"/>
      <c r="Y461" s="2"/>
      <c r="Z461" s="2"/>
    </row>
    <row r="462" spans="1:26" ht="19.5" customHeight="1">
      <c r="A462" s="28"/>
      <c r="B462" s="28"/>
      <c r="C462" s="28"/>
      <c r="D462" s="29"/>
      <c r="E462" s="29"/>
      <c r="F462" s="28"/>
      <c r="G462" s="28"/>
      <c r="H462" s="28"/>
      <c r="I462" s="28"/>
      <c r="J462" s="28"/>
      <c r="K462" s="28"/>
      <c r="L462" s="28"/>
      <c r="M462" s="28"/>
      <c r="N462" s="28"/>
      <c r="O462" s="28"/>
      <c r="P462" s="28"/>
      <c r="Q462" s="28"/>
      <c r="R462" s="28"/>
      <c r="S462" s="28"/>
      <c r="T462" s="28"/>
      <c r="U462" s="7"/>
      <c r="V462" s="28"/>
      <c r="W462" s="28"/>
      <c r="X462" s="2"/>
      <c r="Y462" s="2"/>
      <c r="Z462" s="2"/>
    </row>
    <row r="463" spans="1:26" ht="19.5" customHeight="1">
      <c r="A463" s="28"/>
      <c r="B463" s="28"/>
      <c r="C463" s="28"/>
      <c r="D463" s="29"/>
      <c r="E463" s="29"/>
      <c r="F463" s="28"/>
      <c r="G463" s="28"/>
      <c r="H463" s="28"/>
      <c r="I463" s="28"/>
      <c r="J463" s="28"/>
      <c r="K463" s="28"/>
      <c r="L463" s="28"/>
      <c r="M463" s="28"/>
      <c r="N463" s="28"/>
      <c r="O463" s="28"/>
      <c r="P463" s="28"/>
      <c r="Q463" s="28"/>
      <c r="R463" s="28"/>
      <c r="S463" s="28"/>
      <c r="T463" s="28"/>
      <c r="U463" s="7"/>
      <c r="V463" s="28"/>
      <c r="W463" s="28"/>
      <c r="X463" s="2"/>
      <c r="Y463" s="2"/>
      <c r="Z463" s="2"/>
    </row>
    <row r="464" spans="1:26" ht="19.5" customHeight="1">
      <c r="A464" s="28"/>
      <c r="B464" s="28"/>
      <c r="C464" s="28"/>
      <c r="D464" s="29"/>
      <c r="E464" s="29"/>
      <c r="F464" s="28"/>
      <c r="G464" s="28"/>
      <c r="H464" s="28"/>
      <c r="I464" s="28"/>
      <c r="J464" s="28"/>
      <c r="K464" s="28"/>
      <c r="L464" s="28"/>
      <c r="M464" s="28"/>
      <c r="N464" s="28"/>
      <c r="O464" s="28"/>
      <c r="P464" s="28"/>
      <c r="Q464" s="28"/>
      <c r="R464" s="28"/>
      <c r="S464" s="28"/>
      <c r="T464" s="28"/>
      <c r="U464" s="7"/>
      <c r="V464" s="28"/>
      <c r="W464" s="28"/>
      <c r="X464" s="2"/>
      <c r="Y464" s="2"/>
      <c r="Z464" s="2"/>
    </row>
    <row r="465" spans="1:26" ht="19.5" customHeight="1">
      <c r="A465" s="28"/>
      <c r="B465" s="28"/>
      <c r="C465" s="28"/>
      <c r="D465" s="29"/>
      <c r="E465" s="29"/>
      <c r="F465" s="28"/>
      <c r="G465" s="28"/>
      <c r="H465" s="28"/>
      <c r="I465" s="28"/>
      <c r="J465" s="28"/>
      <c r="K465" s="28"/>
      <c r="L465" s="28"/>
      <c r="M465" s="28"/>
      <c r="N465" s="28"/>
      <c r="O465" s="28"/>
      <c r="P465" s="28"/>
      <c r="Q465" s="28"/>
      <c r="R465" s="28"/>
      <c r="S465" s="28"/>
      <c r="T465" s="28"/>
      <c r="U465" s="7"/>
      <c r="V465" s="28"/>
      <c r="W465" s="28"/>
      <c r="X465" s="2"/>
      <c r="Y465" s="2"/>
      <c r="Z465" s="2"/>
    </row>
    <row r="466" spans="1:26" ht="19.5" customHeight="1">
      <c r="A466" s="28"/>
      <c r="B466" s="28"/>
      <c r="C466" s="28"/>
      <c r="D466" s="29"/>
      <c r="E466" s="29"/>
      <c r="F466" s="28"/>
      <c r="G466" s="28"/>
      <c r="H466" s="28"/>
      <c r="I466" s="28"/>
      <c r="J466" s="28"/>
      <c r="K466" s="28"/>
      <c r="L466" s="28"/>
      <c r="M466" s="28"/>
      <c r="N466" s="28"/>
      <c r="O466" s="28"/>
      <c r="P466" s="28"/>
      <c r="Q466" s="28"/>
      <c r="R466" s="28"/>
      <c r="S466" s="28"/>
      <c r="T466" s="28"/>
      <c r="U466" s="7"/>
      <c r="V466" s="28"/>
      <c r="W466" s="28"/>
      <c r="X466" s="2"/>
      <c r="Y466" s="2"/>
      <c r="Z466" s="2"/>
    </row>
    <row r="467" spans="1:26" ht="19.5" customHeight="1">
      <c r="A467" s="28"/>
      <c r="B467" s="28"/>
      <c r="C467" s="28"/>
      <c r="D467" s="29"/>
      <c r="E467" s="29"/>
      <c r="F467" s="28"/>
      <c r="G467" s="28"/>
      <c r="H467" s="28"/>
      <c r="I467" s="28"/>
      <c r="J467" s="28"/>
      <c r="K467" s="28"/>
      <c r="L467" s="28"/>
      <c r="M467" s="28"/>
      <c r="N467" s="28"/>
      <c r="O467" s="28"/>
      <c r="P467" s="28"/>
      <c r="Q467" s="28"/>
      <c r="R467" s="28"/>
      <c r="S467" s="28"/>
      <c r="T467" s="28"/>
      <c r="U467" s="7"/>
      <c r="V467" s="28"/>
      <c r="W467" s="28"/>
      <c r="X467" s="2"/>
      <c r="Y467" s="2"/>
      <c r="Z467" s="2"/>
    </row>
    <row r="468" spans="1:26" ht="19.5" customHeight="1">
      <c r="A468" s="28"/>
      <c r="B468" s="28"/>
      <c r="C468" s="28"/>
      <c r="D468" s="29"/>
      <c r="E468" s="29"/>
      <c r="F468" s="28"/>
      <c r="G468" s="28"/>
      <c r="H468" s="28"/>
      <c r="I468" s="28"/>
      <c r="J468" s="28"/>
      <c r="K468" s="28"/>
      <c r="L468" s="28"/>
      <c r="M468" s="28"/>
      <c r="N468" s="28"/>
      <c r="O468" s="28"/>
      <c r="P468" s="28"/>
      <c r="Q468" s="28"/>
      <c r="R468" s="28"/>
      <c r="S468" s="28"/>
      <c r="T468" s="28"/>
      <c r="U468" s="7"/>
      <c r="V468" s="28"/>
      <c r="W468" s="28"/>
      <c r="X468" s="2"/>
      <c r="Y468" s="2"/>
      <c r="Z468" s="2"/>
    </row>
    <row r="469" spans="1:26" ht="19.5" customHeight="1">
      <c r="A469" s="28"/>
      <c r="B469" s="28"/>
      <c r="C469" s="28"/>
      <c r="D469" s="29"/>
      <c r="E469" s="29"/>
      <c r="F469" s="28"/>
      <c r="G469" s="28"/>
      <c r="H469" s="28"/>
      <c r="I469" s="28"/>
      <c r="J469" s="28"/>
      <c r="K469" s="28"/>
      <c r="L469" s="28"/>
      <c r="M469" s="28"/>
      <c r="N469" s="28"/>
      <c r="O469" s="28"/>
      <c r="P469" s="28"/>
      <c r="Q469" s="28"/>
      <c r="R469" s="28"/>
      <c r="S469" s="28"/>
      <c r="T469" s="28"/>
      <c r="U469" s="7"/>
      <c r="V469" s="28"/>
      <c r="W469" s="28"/>
      <c r="X469" s="2"/>
      <c r="Y469" s="2"/>
      <c r="Z469" s="2"/>
    </row>
    <row r="470" spans="1:26" ht="19.5" customHeight="1">
      <c r="A470" s="28"/>
      <c r="B470" s="28"/>
      <c r="C470" s="28"/>
      <c r="D470" s="29"/>
      <c r="E470" s="29"/>
      <c r="F470" s="28"/>
      <c r="G470" s="28"/>
      <c r="H470" s="28"/>
      <c r="I470" s="28"/>
      <c r="J470" s="28"/>
      <c r="K470" s="28"/>
      <c r="L470" s="28"/>
      <c r="M470" s="28"/>
      <c r="N470" s="28"/>
      <c r="O470" s="28"/>
      <c r="P470" s="28"/>
      <c r="Q470" s="28"/>
      <c r="R470" s="28"/>
      <c r="S470" s="28"/>
      <c r="T470" s="28"/>
      <c r="U470" s="7"/>
      <c r="V470" s="28"/>
      <c r="W470" s="28"/>
      <c r="X470" s="2"/>
      <c r="Y470" s="2"/>
      <c r="Z470" s="2"/>
    </row>
    <row r="471" spans="1:26" ht="19.5" customHeight="1">
      <c r="A471" s="28"/>
      <c r="B471" s="28"/>
      <c r="C471" s="28"/>
      <c r="D471" s="29"/>
      <c r="E471" s="29"/>
      <c r="F471" s="28"/>
      <c r="G471" s="28"/>
      <c r="H471" s="28"/>
      <c r="I471" s="28"/>
      <c r="J471" s="28"/>
      <c r="K471" s="28"/>
      <c r="L471" s="28"/>
      <c r="M471" s="28"/>
      <c r="N471" s="28"/>
      <c r="O471" s="28"/>
      <c r="P471" s="28"/>
      <c r="Q471" s="28"/>
      <c r="R471" s="28"/>
      <c r="S471" s="28"/>
      <c r="T471" s="28"/>
      <c r="U471" s="7"/>
      <c r="V471" s="28"/>
      <c r="W471" s="28"/>
      <c r="X471" s="2"/>
      <c r="Y471" s="2"/>
      <c r="Z471" s="2"/>
    </row>
    <row r="472" spans="1:26" ht="19.5" customHeight="1">
      <c r="A472" s="28"/>
      <c r="B472" s="28"/>
      <c r="C472" s="28"/>
      <c r="D472" s="29"/>
      <c r="E472" s="29"/>
      <c r="F472" s="28"/>
      <c r="G472" s="28"/>
      <c r="H472" s="28"/>
      <c r="I472" s="28"/>
      <c r="J472" s="28"/>
      <c r="K472" s="28"/>
      <c r="L472" s="28"/>
      <c r="M472" s="28"/>
      <c r="N472" s="28"/>
      <c r="O472" s="28"/>
      <c r="P472" s="28"/>
      <c r="Q472" s="28"/>
      <c r="R472" s="28"/>
      <c r="S472" s="28"/>
      <c r="T472" s="28"/>
      <c r="U472" s="7"/>
      <c r="V472" s="28"/>
      <c r="W472" s="28"/>
      <c r="X472" s="2"/>
      <c r="Y472" s="2"/>
      <c r="Z472" s="2"/>
    </row>
    <row r="473" spans="1:26" ht="19.5" customHeight="1">
      <c r="A473" s="28"/>
      <c r="B473" s="28"/>
      <c r="C473" s="28"/>
      <c r="D473" s="29"/>
      <c r="E473" s="29"/>
      <c r="F473" s="28"/>
      <c r="G473" s="28"/>
      <c r="H473" s="28"/>
      <c r="I473" s="28"/>
      <c r="J473" s="28"/>
      <c r="K473" s="28"/>
      <c r="L473" s="28"/>
      <c r="M473" s="28"/>
      <c r="N473" s="28"/>
      <c r="O473" s="28"/>
      <c r="P473" s="28"/>
      <c r="Q473" s="28"/>
      <c r="R473" s="28"/>
      <c r="S473" s="28"/>
      <c r="T473" s="28"/>
      <c r="U473" s="7"/>
      <c r="V473" s="28"/>
      <c r="W473" s="28"/>
      <c r="X473" s="2"/>
      <c r="Y473" s="2"/>
      <c r="Z473" s="2"/>
    </row>
    <row r="474" spans="1:26" ht="19.5" customHeight="1">
      <c r="A474" s="28"/>
      <c r="B474" s="28"/>
      <c r="C474" s="28"/>
      <c r="D474" s="29"/>
      <c r="E474" s="29"/>
      <c r="F474" s="28"/>
      <c r="G474" s="28"/>
      <c r="H474" s="28"/>
      <c r="I474" s="28"/>
      <c r="J474" s="28"/>
      <c r="K474" s="28"/>
      <c r="L474" s="28"/>
      <c r="M474" s="28"/>
      <c r="N474" s="28"/>
      <c r="O474" s="28"/>
      <c r="P474" s="28"/>
      <c r="Q474" s="28"/>
      <c r="R474" s="28"/>
      <c r="S474" s="28"/>
      <c r="T474" s="28"/>
      <c r="U474" s="7"/>
      <c r="V474" s="28"/>
      <c r="W474" s="28"/>
      <c r="X474" s="2"/>
      <c r="Y474" s="2"/>
      <c r="Z474" s="2"/>
    </row>
    <row r="475" spans="1:26" ht="19.5" customHeight="1">
      <c r="A475" s="28"/>
      <c r="B475" s="28"/>
      <c r="C475" s="28"/>
      <c r="D475" s="29"/>
      <c r="E475" s="29"/>
      <c r="F475" s="28"/>
      <c r="G475" s="28"/>
      <c r="H475" s="28"/>
      <c r="I475" s="28"/>
      <c r="J475" s="28"/>
      <c r="K475" s="28"/>
      <c r="L475" s="28"/>
      <c r="M475" s="28"/>
      <c r="N475" s="28"/>
      <c r="O475" s="28"/>
      <c r="P475" s="28"/>
      <c r="Q475" s="28"/>
      <c r="R475" s="28"/>
      <c r="S475" s="28"/>
      <c r="T475" s="28"/>
      <c r="U475" s="7"/>
      <c r="V475" s="28"/>
      <c r="W475" s="28"/>
      <c r="X475" s="2"/>
      <c r="Y475" s="2"/>
      <c r="Z475" s="2"/>
    </row>
    <row r="476" spans="1:26" ht="19.5" customHeight="1">
      <c r="A476" s="28"/>
      <c r="B476" s="28"/>
      <c r="C476" s="28"/>
      <c r="D476" s="29"/>
      <c r="E476" s="29"/>
      <c r="F476" s="28"/>
      <c r="G476" s="28"/>
      <c r="H476" s="28"/>
      <c r="I476" s="28"/>
      <c r="J476" s="28"/>
      <c r="K476" s="28"/>
      <c r="L476" s="28"/>
      <c r="M476" s="28"/>
      <c r="N476" s="28"/>
      <c r="O476" s="28"/>
      <c r="P476" s="28"/>
      <c r="Q476" s="28"/>
      <c r="R476" s="28"/>
      <c r="S476" s="28"/>
      <c r="T476" s="28"/>
      <c r="U476" s="7"/>
      <c r="V476" s="28"/>
      <c r="W476" s="28"/>
      <c r="X476" s="2"/>
      <c r="Y476" s="2"/>
      <c r="Z476" s="2"/>
    </row>
    <row r="477" spans="1:26" ht="19.5" customHeight="1">
      <c r="A477" s="28"/>
      <c r="B477" s="28"/>
      <c r="C477" s="28"/>
      <c r="D477" s="29"/>
      <c r="E477" s="29"/>
      <c r="F477" s="28"/>
      <c r="G477" s="28"/>
      <c r="H477" s="28"/>
      <c r="I477" s="28"/>
      <c r="J477" s="28"/>
      <c r="K477" s="28"/>
      <c r="L477" s="28"/>
      <c r="M477" s="28"/>
      <c r="N477" s="28"/>
      <c r="O477" s="28"/>
      <c r="P477" s="28"/>
      <c r="Q477" s="28"/>
      <c r="R477" s="28"/>
      <c r="S477" s="28"/>
      <c r="T477" s="28"/>
      <c r="U477" s="7"/>
      <c r="V477" s="28"/>
      <c r="W477" s="28"/>
      <c r="X477" s="2"/>
      <c r="Y477" s="2"/>
      <c r="Z477" s="2"/>
    </row>
    <row r="478" spans="1:26" ht="19.5" customHeight="1">
      <c r="A478" s="28"/>
      <c r="B478" s="28"/>
      <c r="C478" s="28"/>
      <c r="D478" s="29"/>
      <c r="E478" s="29"/>
      <c r="F478" s="28"/>
      <c r="G478" s="28"/>
      <c r="H478" s="28"/>
      <c r="I478" s="28"/>
      <c r="J478" s="28"/>
      <c r="K478" s="28"/>
      <c r="L478" s="28"/>
      <c r="M478" s="28"/>
      <c r="N478" s="28"/>
      <c r="O478" s="28"/>
      <c r="P478" s="28"/>
      <c r="Q478" s="28"/>
      <c r="R478" s="28"/>
      <c r="S478" s="28"/>
      <c r="T478" s="28"/>
      <c r="U478" s="7"/>
      <c r="V478" s="28"/>
      <c r="W478" s="28"/>
      <c r="X478" s="2"/>
      <c r="Y478" s="2"/>
      <c r="Z478" s="2"/>
    </row>
    <row r="479" spans="1:26" ht="19.5" customHeight="1">
      <c r="A479" s="28"/>
      <c r="B479" s="28"/>
      <c r="C479" s="28"/>
      <c r="D479" s="29"/>
      <c r="E479" s="29"/>
      <c r="F479" s="28"/>
      <c r="G479" s="28"/>
      <c r="H479" s="28"/>
      <c r="I479" s="28"/>
      <c r="J479" s="28"/>
      <c r="K479" s="28"/>
      <c r="L479" s="28"/>
      <c r="M479" s="28"/>
      <c r="N479" s="28"/>
      <c r="O479" s="28"/>
      <c r="P479" s="28"/>
      <c r="Q479" s="28"/>
      <c r="R479" s="28"/>
      <c r="S479" s="28"/>
      <c r="T479" s="28"/>
      <c r="U479" s="7"/>
      <c r="V479" s="28"/>
      <c r="W479" s="28"/>
      <c r="X479" s="2"/>
      <c r="Y479" s="2"/>
      <c r="Z479" s="2"/>
    </row>
    <row r="480" spans="1:26" ht="19.5" customHeight="1">
      <c r="A480" s="28"/>
      <c r="B480" s="28"/>
      <c r="C480" s="28"/>
      <c r="D480" s="29"/>
      <c r="E480" s="29"/>
      <c r="F480" s="28"/>
      <c r="G480" s="28"/>
      <c r="H480" s="28"/>
      <c r="I480" s="28"/>
      <c r="J480" s="28"/>
      <c r="K480" s="28"/>
      <c r="L480" s="28"/>
      <c r="M480" s="28"/>
      <c r="N480" s="28"/>
      <c r="O480" s="28"/>
      <c r="P480" s="28"/>
      <c r="Q480" s="28"/>
      <c r="R480" s="28"/>
      <c r="S480" s="28"/>
      <c r="T480" s="28"/>
      <c r="U480" s="7"/>
      <c r="V480" s="28"/>
      <c r="W480" s="28"/>
      <c r="X480" s="2"/>
      <c r="Y480" s="2"/>
      <c r="Z480" s="2"/>
    </row>
    <row r="481" spans="1:26" ht="19.5" customHeight="1">
      <c r="A481" s="28"/>
      <c r="B481" s="28"/>
      <c r="C481" s="28"/>
      <c r="D481" s="29"/>
      <c r="E481" s="29"/>
      <c r="F481" s="28"/>
      <c r="G481" s="28"/>
      <c r="H481" s="28"/>
      <c r="I481" s="28"/>
      <c r="J481" s="28"/>
      <c r="K481" s="28"/>
      <c r="L481" s="28"/>
      <c r="M481" s="28"/>
      <c r="N481" s="28"/>
      <c r="O481" s="28"/>
      <c r="P481" s="28"/>
      <c r="Q481" s="28"/>
      <c r="R481" s="28"/>
      <c r="S481" s="28"/>
      <c r="T481" s="28"/>
      <c r="U481" s="7"/>
      <c r="V481" s="28"/>
      <c r="W481" s="28"/>
      <c r="X481" s="2"/>
      <c r="Y481" s="2"/>
      <c r="Z481" s="2"/>
    </row>
    <row r="482" spans="1:26" ht="19.5" customHeight="1">
      <c r="A482" s="28"/>
      <c r="B482" s="28"/>
      <c r="C482" s="28"/>
      <c r="D482" s="29"/>
      <c r="E482" s="29"/>
      <c r="F482" s="28"/>
      <c r="G482" s="28"/>
      <c r="H482" s="28"/>
      <c r="I482" s="28"/>
      <c r="J482" s="28"/>
      <c r="K482" s="28"/>
      <c r="L482" s="28"/>
      <c r="M482" s="28"/>
      <c r="N482" s="28"/>
      <c r="O482" s="28"/>
      <c r="P482" s="28"/>
      <c r="Q482" s="28"/>
      <c r="R482" s="28"/>
      <c r="S482" s="28"/>
      <c r="T482" s="28"/>
      <c r="U482" s="7"/>
      <c r="V482" s="28"/>
      <c r="W482" s="28"/>
      <c r="X482" s="2"/>
      <c r="Y482" s="2"/>
      <c r="Z482" s="2"/>
    </row>
    <row r="483" spans="1:26" ht="19.5" customHeight="1">
      <c r="A483" s="28"/>
      <c r="B483" s="28"/>
      <c r="C483" s="28"/>
      <c r="D483" s="29"/>
      <c r="E483" s="29"/>
      <c r="F483" s="28"/>
      <c r="G483" s="28"/>
      <c r="H483" s="28"/>
      <c r="I483" s="28"/>
      <c r="J483" s="28"/>
      <c r="K483" s="28"/>
      <c r="L483" s="28"/>
      <c r="M483" s="28"/>
      <c r="N483" s="28"/>
      <c r="O483" s="28"/>
      <c r="P483" s="28"/>
      <c r="Q483" s="28"/>
      <c r="R483" s="28"/>
      <c r="S483" s="28"/>
      <c r="T483" s="28"/>
      <c r="U483" s="7"/>
      <c r="V483" s="28"/>
      <c r="W483" s="28"/>
      <c r="X483" s="2"/>
      <c r="Y483" s="2"/>
      <c r="Z483" s="2"/>
    </row>
    <row r="484" spans="1:26" ht="19.5" customHeight="1">
      <c r="A484" s="28"/>
      <c r="B484" s="28"/>
      <c r="C484" s="28"/>
      <c r="D484" s="29"/>
      <c r="E484" s="29"/>
      <c r="F484" s="28"/>
      <c r="G484" s="28"/>
      <c r="H484" s="28"/>
      <c r="I484" s="28"/>
      <c r="J484" s="28"/>
      <c r="K484" s="28"/>
      <c r="L484" s="28"/>
      <c r="M484" s="28"/>
      <c r="N484" s="28"/>
      <c r="O484" s="28"/>
      <c r="P484" s="28"/>
      <c r="Q484" s="28"/>
      <c r="R484" s="28"/>
      <c r="S484" s="28"/>
      <c r="T484" s="28"/>
      <c r="U484" s="7"/>
      <c r="V484" s="28"/>
      <c r="W484" s="28"/>
      <c r="X484" s="2"/>
      <c r="Y484" s="2"/>
      <c r="Z484" s="2"/>
    </row>
    <row r="485" spans="1:26" ht="19.5" customHeight="1">
      <c r="A485" s="28"/>
      <c r="B485" s="28"/>
      <c r="C485" s="28"/>
      <c r="D485" s="29"/>
      <c r="E485" s="29"/>
      <c r="F485" s="28"/>
      <c r="G485" s="28"/>
      <c r="H485" s="28"/>
      <c r="I485" s="28"/>
      <c r="J485" s="28"/>
      <c r="K485" s="28"/>
      <c r="L485" s="28"/>
      <c r="M485" s="28"/>
      <c r="N485" s="28"/>
      <c r="O485" s="28"/>
      <c r="P485" s="28"/>
      <c r="Q485" s="28"/>
      <c r="R485" s="28"/>
      <c r="S485" s="28"/>
      <c r="T485" s="28"/>
      <c r="U485" s="7"/>
      <c r="V485" s="28"/>
      <c r="W485" s="28"/>
      <c r="X485" s="2"/>
      <c r="Y485" s="2"/>
      <c r="Z485" s="2"/>
    </row>
    <row r="486" spans="1:26" ht="19.5" customHeight="1">
      <c r="A486" s="28"/>
      <c r="B486" s="28"/>
      <c r="C486" s="28"/>
      <c r="D486" s="29"/>
      <c r="E486" s="29"/>
      <c r="F486" s="28"/>
      <c r="G486" s="28"/>
      <c r="H486" s="28"/>
      <c r="I486" s="28"/>
      <c r="J486" s="28"/>
      <c r="K486" s="28"/>
      <c r="L486" s="28"/>
      <c r="M486" s="28"/>
      <c r="N486" s="28"/>
      <c r="O486" s="28"/>
      <c r="P486" s="28"/>
      <c r="Q486" s="28"/>
      <c r="R486" s="28"/>
      <c r="S486" s="28"/>
      <c r="T486" s="28"/>
      <c r="U486" s="7"/>
      <c r="V486" s="28"/>
      <c r="W486" s="28"/>
      <c r="X486" s="2"/>
      <c r="Y486" s="2"/>
      <c r="Z486" s="2"/>
    </row>
    <row r="487" spans="1:26" ht="19.5" customHeight="1">
      <c r="A487" s="28"/>
      <c r="B487" s="28"/>
      <c r="C487" s="28"/>
      <c r="D487" s="29"/>
      <c r="E487" s="29"/>
      <c r="F487" s="28"/>
      <c r="G487" s="28"/>
      <c r="H487" s="28"/>
      <c r="I487" s="28"/>
      <c r="J487" s="28"/>
      <c r="K487" s="28"/>
      <c r="L487" s="28"/>
      <c r="M487" s="28"/>
      <c r="N487" s="28"/>
      <c r="O487" s="28"/>
      <c r="P487" s="28"/>
      <c r="Q487" s="28"/>
      <c r="R487" s="28"/>
      <c r="S487" s="28"/>
      <c r="T487" s="28"/>
      <c r="U487" s="7"/>
      <c r="V487" s="28"/>
      <c r="W487" s="28"/>
      <c r="X487" s="2"/>
      <c r="Y487" s="2"/>
      <c r="Z487" s="2"/>
    </row>
    <row r="488" spans="1:26" ht="19.5" customHeight="1">
      <c r="A488" s="28"/>
      <c r="B488" s="28"/>
      <c r="C488" s="28"/>
      <c r="D488" s="29"/>
      <c r="E488" s="29"/>
      <c r="F488" s="28"/>
      <c r="G488" s="28"/>
      <c r="H488" s="28"/>
      <c r="I488" s="28"/>
      <c r="J488" s="28"/>
      <c r="K488" s="28"/>
      <c r="L488" s="28"/>
      <c r="M488" s="28"/>
      <c r="N488" s="28"/>
      <c r="O488" s="28"/>
      <c r="P488" s="28"/>
      <c r="Q488" s="28"/>
      <c r="R488" s="28"/>
      <c r="S488" s="28"/>
      <c r="T488" s="28"/>
      <c r="U488" s="7"/>
      <c r="V488" s="28"/>
      <c r="W488" s="28"/>
      <c r="X488" s="2"/>
      <c r="Y488" s="2"/>
      <c r="Z488" s="2"/>
    </row>
    <row r="489" spans="1:26" ht="19.5" customHeight="1">
      <c r="A489" s="28"/>
      <c r="B489" s="28"/>
      <c r="C489" s="28"/>
      <c r="D489" s="29"/>
      <c r="E489" s="29"/>
      <c r="F489" s="28"/>
      <c r="G489" s="28"/>
      <c r="H489" s="28"/>
      <c r="I489" s="28"/>
      <c r="J489" s="28"/>
      <c r="K489" s="28"/>
      <c r="L489" s="28"/>
      <c r="M489" s="28"/>
      <c r="N489" s="28"/>
      <c r="O489" s="28"/>
      <c r="P489" s="28"/>
      <c r="Q489" s="28"/>
      <c r="R489" s="28"/>
      <c r="S489" s="28"/>
      <c r="T489" s="28"/>
      <c r="U489" s="7"/>
      <c r="V489" s="28"/>
      <c r="W489" s="28"/>
      <c r="X489" s="2"/>
      <c r="Y489" s="2"/>
      <c r="Z489" s="2"/>
    </row>
    <row r="490" spans="1:26" ht="19.5" customHeight="1">
      <c r="A490" s="28"/>
      <c r="B490" s="28"/>
      <c r="C490" s="28"/>
      <c r="D490" s="29"/>
      <c r="E490" s="29"/>
      <c r="F490" s="28"/>
      <c r="G490" s="28"/>
      <c r="H490" s="28"/>
      <c r="I490" s="28"/>
      <c r="J490" s="28"/>
      <c r="K490" s="28"/>
      <c r="L490" s="28"/>
      <c r="M490" s="28"/>
      <c r="N490" s="28"/>
      <c r="O490" s="28"/>
      <c r="P490" s="28"/>
      <c r="Q490" s="28"/>
      <c r="R490" s="28"/>
      <c r="S490" s="28"/>
      <c r="T490" s="28"/>
      <c r="U490" s="7"/>
      <c r="V490" s="28"/>
      <c r="W490" s="28"/>
      <c r="X490" s="2"/>
      <c r="Y490" s="2"/>
      <c r="Z490" s="2"/>
    </row>
    <row r="491" spans="1:26" ht="19.5" customHeight="1">
      <c r="A491" s="28"/>
      <c r="B491" s="28"/>
      <c r="C491" s="28"/>
      <c r="D491" s="29"/>
      <c r="E491" s="29"/>
      <c r="F491" s="28"/>
      <c r="G491" s="28"/>
      <c r="H491" s="28"/>
      <c r="I491" s="28"/>
      <c r="J491" s="28"/>
      <c r="K491" s="28"/>
      <c r="L491" s="28"/>
      <c r="M491" s="28"/>
      <c r="N491" s="28"/>
      <c r="O491" s="28"/>
      <c r="P491" s="28"/>
      <c r="Q491" s="28"/>
      <c r="R491" s="28"/>
      <c r="S491" s="28"/>
      <c r="T491" s="28"/>
      <c r="U491" s="7"/>
      <c r="V491" s="28"/>
      <c r="W491" s="28"/>
      <c r="X491" s="2"/>
      <c r="Y491" s="2"/>
      <c r="Z491" s="2"/>
    </row>
    <row r="492" spans="1:26" ht="19.5" customHeight="1">
      <c r="A492" s="28"/>
      <c r="B492" s="28"/>
      <c r="C492" s="28"/>
      <c r="D492" s="29"/>
      <c r="E492" s="29"/>
      <c r="F492" s="28"/>
      <c r="G492" s="28"/>
      <c r="H492" s="28"/>
      <c r="I492" s="28"/>
      <c r="J492" s="28"/>
      <c r="K492" s="28"/>
      <c r="L492" s="28"/>
      <c r="M492" s="28"/>
      <c r="N492" s="28"/>
      <c r="O492" s="28"/>
      <c r="P492" s="28"/>
      <c r="Q492" s="28"/>
      <c r="R492" s="28"/>
      <c r="S492" s="28"/>
      <c r="T492" s="28"/>
      <c r="U492" s="7"/>
      <c r="V492" s="28"/>
      <c r="W492" s="28"/>
      <c r="X492" s="2"/>
      <c r="Y492" s="2"/>
      <c r="Z492" s="2"/>
    </row>
    <row r="493" spans="1:26" ht="19.5" customHeight="1">
      <c r="A493" s="28"/>
      <c r="B493" s="28"/>
      <c r="C493" s="28"/>
      <c r="D493" s="29"/>
      <c r="E493" s="29"/>
      <c r="F493" s="28"/>
      <c r="G493" s="28"/>
      <c r="H493" s="28"/>
      <c r="I493" s="28"/>
      <c r="J493" s="28"/>
      <c r="K493" s="28"/>
      <c r="L493" s="28"/>
      <c r="M493" s="28"/>
      <c r="N493" s="28"/>
      <c r="O493" s="28"/>
      <c r="P493" s="28"/>
      <c r="Q493" s="28"/>
      <c r="R493" s="28"/>
      <c r="S493" s="28"/>
      <c r="T493" s="28"/>
      <c r="U493" s="7"/>
      <c r="V493" s="28"/>
      <c r="W493" s="28"/>
      <c r="X493" s="2"/>
      <c r="Y493" s="2"/>
      <c r="Z493" s="2"/>
    </row>
    <row r="494" spans="1:26" ht="19.5" customHeight="1">
      <c r="A494" s="28"/>
      <c r="B494" s="28"/>
      <c r="C494" s="28"/>
      <c r="D494" s="29"/>
      <c r="E494" s="29"/>
      <c r="F494" s="28"/>
      <c r="G494" s="28"/>
      <c r="H494" s="28"/>
      <c r="I494" s="28"/>
      <c r="J494" s="28"/>
      <c r="K494" s="28"/>
      <c r="L494" s="28"/>
      <c r="M494" s="28"/>
      <c r="N494" s="28"/>
      <c r="O494" s="28"/>
      <c r="P494" s="28"/>
      <c r="Q494" s="28"/>
      <c r="R494" s="28"/>
      <c r="S494" s="28"/>
      <c r="T494" s="28"/>
      <c r="U494" s="7"/>
      <c r="V494" s="28"/>
      <c r="W494" s="28"/>
      <c r="X494" s="2"/>
      <c r="Y494" s="2"/>
      <c r="Z494" s="2"/>
    </row>
    <row r="495" spans="1:26" ht="19.5" customHeight="1">
      <c r="A495" s="28"/>
      <c r="B495" s="28"/>
      <c r="C495" s="28"/>
      <c r="D495" s="29"/>
      <c r="E495" s="29"/>
      <c r="F495" s="28"/>
      <c r="G495" s="28"/>
      <c r="H495" s="28"/>
      <c r="I495" s="28"/>
      <c r="J495" s="28"/>
      <c r="K495" s="28"/>
      <c r="L495" s="28"/>
      <c r="M495" s="28"/>
      <c r="N495" s="28"/>
      <c r="O495" s="28"/>
      <c r="P495" s="28"/>
      <c r="Q495" s="28"/>
      <c r="R495" s="28"/>
      <c r="S495" s="28"/>
      <c r="T495" s="28"/>
      <c r="U495" s="7"/>
      <c r="V495" s="28"/>
      <c r="W495" s="28"/>
      <c r="X495" s="2"/>
      <c r="Y495" s="2"/>
      <c r="Z495" s="2"/>
    </row>
    <row r="496" spans="1:26" ht="19.5" customHeight="1">
      <c r="A496" s="28"/>
      <c r="B496" s="28"/>
      <c r="C496" s="28"/>
      <c r="D496" s="29"/>
      <c r="E496" s="29"/>
      <c r="F496" s="28"/>
      <c r="G496" s="28"/>
      <c r="H496" s="28"/>
      <c r="I496" s="28"/>
      <c r="J496" s="28"/>
      <c r="K496" s="28"/>
      <c r="L496" s="28"/>
      <c r="M496" s="28"/>
      <c r="N496" s="28"/>
      <c r="O496" s="28"/>
      <c r="P496" s="28"/>
      <c r="Q496" s="28"/>
      <c r="R496" s="28"/>
      <c r="S496" s="28"/>
      <c r="T496" s="28"/>
      <c r="U496" s="7"/>
      <c r="V496" s="28"/>
      <c r="W496" s="28"/>
      <c r="X496" s="2"/>
      <c r="Y496" s="2"/>
      <c r="Z496" s="2"/>
    </row>
    <row r="497" spans="1:26" ht="19.5" customHeight="1">
      <c r="A497" s="28"/>
      <c r="B497" s="28"/>
      <c r="C497" s="28"/>
      <c r="D497" s="29"/>
      <c r="E497" s="29"/>
      <c r="F497" s="28"/>
      <c r="G497" s="28"/>
      <c r="H497" s="28"/>
      <c r="I497" s="28"/>
      <c r="J497" s="28"/>
      <c r="K497" s="28"/>
      <c r="L497" s="28"/>
      <c r="M497" s="28"/>
      <c r="N497" s="28"/>
      <c r="O497" s="28"/>
      <c r="P497" s="28"/>
      <c r="Q497" s="28"/>
      <c r="R497" s="28"/>
      <c r="S497" s="28"/>
      <c r="T497" s="28"/>
      <c r="U497" s="7"/>
      <c r="V497" s="28"/>
      <c r="W497" s="28"/>
      <c r="X497" s="2"/>
      <c r="Y497" s="2"/>
      <c r="Z497" s="2"/>
    </row>
    <row r="498" spans="1:26" ht="19.5" customHeight="1">
      <c r="A498" s="28"/>
      <c r="B498" s="28"/>
      <c r="C498" s="28"/>
      <c r="D498" s="29"/>
      <c r="E498" s="29"/>
      <c r="F498" s="28"/>
      <c r="G498" s="28"/>
      <c r="H498" s="28"/>
      <c r="I498" s="28"/>
      <c r="J498" s="28"/>
      <c r="K498" s="28"/>
      <c r="L498" s="28"/>
      <c r="M498" s="28"/>
      <c r="N498" s="28"/>
      <c r="O498" s="28"/>
      <c r="P498" s="28"/>
      <c r="Q498" s="28"/>
      <c r="R498" s="28"/>
      <c r="S498" s="28"/>
      <c r="T498" s="28"/>
      <c r="U498" s="7"/>
      <c r="V498" s="28"/>
      <c r="W498" s="28"/>
      <c r="X498" s="2"/>
      <c r="Y498" s="2"/>
      <c r="Z498" s="2"/>
    </row>
    <row r="499" spans="1:26" ht="19.5" customHeight="1">
      <c r="A499" s="28"/>
      <c r="B499" s="28"/>
      <c r="C499" s="28"/>
      <c r="D499" s="29"/>
      <c r="E499" s="29"/>
      <c r="F499" s="28"/>
      <c r="G499" s="28"/>
      <c r="H499" s="28"/>
      <c r="I499" s="28"/>
      <c r="J499" s="28"/>
      <c r="K499" s="28"/>
      <c r="L499" s="28"/>
      <c r="M499" s="28"/>
      <c r="N499" s="28"/>
      <c r="O499" s="28"/>
      <c r="P499" s="28"/>
      <c r="Q499" s="28"/>
      <c r="R499" s="28"/>
      <c r="S499" s="28"/>
      <c r="T499" s="28"/>
      <c r="U499" s="7"/>
      <c r="V499" s="28"/>
      <c r="W499" s="28"/>
      <c r="X499" s="2"/>
      <c r="Y499" s="2"/>
      <c r="Z499" s="2"/>
    </row>
    <row r="500" spans="1:26" ht="19.5" customHeight="1">
      <c r="A500" s="28"/>
      <c r="B500" s="28"/>
      <c r="C500" s="28"/>
      <c r="D500" s="29"/>
      <c r="E500" s="29"/>
      <c r="F500" s="28"/>
      <c r="G500" s="28"/>
      <c r="H500" s="28"/>
      <c r="I500" s="28"/>
      <c r="J500" s="28"/>
      <c r="K500" s="28"/>
      <c r="L500" s="28"/>
      <c r="M500" s="28"/>
      <c r="N500" s="28"/>
      <c r="O500" s="28"/>
      <c r="P500" s="28"/>
      <c r="Q500" s="28"/>
      <c r="R500" s="28"/>
      <c r="S500" s="28"/>
      <c r="T500" s="28"/>
      <c r="U500" s="7"/>
      <c r="V500" s="28"/>
      <c r="W500" s="28"/>
      <c r="X500" s="2"/>
      <c r="Y500" s="2"/>
      <c r="Z500" s="2"/>
    </row>
    <row r="501" spans="1:26" ht="19.5" customHeight="1">
      <c r="A501" s="28"/>
      <c r="B501" s="28"/>
      <c r="C501" s="28"/>
      <c r="D501" s="29"/>
      <c r="E501" s="29"/>
      <c r="F501" s="28"/>
      <c r="G501" s="28"/>
      <c r="H501" s="28"/>
      <c r="I501" s="28"/>
      <c r="J501" s="28"/>
      <c r="K501" s="28"/>
      <c r="L501" s="28"/>
      <c r="M501" s="28"/>
      <c r="N501" s="28"/>
      <c r="O501" s="28"/>
      <c r="P501" s="28"/>
      <c r="Q501" s="28"/>
      <c r="R501" s="28"/>
      <c r="S501" s="28"/>
      <c r="T501" s="28"/>
      <c r="U501" s="7"/>
      <c r="V501" s="28"/>
      <c r="W501" s="28"/>
      <c r="X501" s="2"/>
      <c r="Y501" s="2"/>
      <c r="Z501" s="2"/>
    </row>
    <row r="502" spans="1:26" ht="19.5" customHeight="1">
      <c r="A502" s="28"/>
      <c r="B502" s="28"/>
      <c r="C502" s="28"/>
      <c r="D502" s="29"/>
      <c r="E502" s="29"/>
      <c r="F502" s="28"/>
      <c r="G502" s="28"/>
      <c r="H502" s="28"/>
      <c r="I502" s="28"/>
      <c r="J502" s="28"/>
      <c r="K502" s="28"/>
      <c r="L502" s="28"/>
      <c r="M502" s="28"/>
      <c r="N502" s="28"/>
      <c r="O502" s="28"/>
      <c r="P502" s="28"/>
      <c r="Q502" s="28"/>
      <c r="R502" s="28"/>
      <c r="S502" s="28"/>
      <c r="T502" s="28"/>
      <c r="U502" s="7"/>
      <c r="V502" s="28"/>
      <c r="W502" s="28"/>
      <c r="X502" s="2"/>
      <c r="Y502" s="2"/>
      <c r="Z502" s="2"/>
    </row>
    <row r="503" spans="1:26" ht="19.5" customHeight="1">
      <c r="A503" s="28"/>
      <c r="B503" s="28"/>
      <c r="C503" s="28"/>
      <c r="D503" s="29"/>
      <c r="E503" s="29"/>
      <c r="F503" s="28"/>
      <c r="G503" s="28"/>
      <c r="H503" s="28"/>
      <c r="I503" s="28"/>
      <c r="J503" s="28"/>
      <c r="K503" s="28"/>
      <c r="L503" s="28"/>
      <c r="M503" s="28"/>
      <c r="N503" s="28"/>
      <c r="O503" s="28"/>
      <c r="P503" s="28"/>
      <c r="Q503" s="28"/>
      <c r="R503" s="28"/>
      <c r="S503" s="28"/>
      <c r="T503" s="28"/>
      <c r="U503" s="7"/>
      <c r="V503" s="28"/>
      <c r="W503" s="28"/>
      <c r="X503" s="2"/>
      <c r="Y503" s="2"/>
      <c r="Z503" s="2"/>
    </row>
    <row r="504" spans="1:26" ht="19.5" customHeight="1">
      <c r="A504" s="28"/>
      <c r="B504" s="28"/>
      <c r="C504" s="28"/>
      <c r="D504" s="29"/>
      <c r="E504" s="29"/>
      <c r="F504" s="28"/>
      <c r="G504" s="28"/>
      <c r="H504" s="28"/>
      <c r="I504" s="28"/>
      <c r="J504" s="28"/>
      <c r="K504" s="28"/>
      <c r="L504" s="28"/>
      <c r="M504" s="28"/>
      <c r="N504" s="28"/>
      <c r="O504" s="28"/>
      <c r="P504" s="28"/>
      <c r="Q504" s="28"/>
      <c r="R504" s="28"/>
      <c r="S504" s="28"/>
      <c r="T504" s="28"/>
      <c r="U504" s="7"/>
      <c r="V504" s="28"/>
      <c r="W504" s="28"/>
      <c r="X504" s="2"/>
      <c r="Y504" s="2"/>
      <c r="Z504" s="2"/>
    </row>
    <row r="505" spans="1:26" ht="19.5" customHeight="1">
      <c r="A505" s="28"/>
      <c r="B505" s="28"/>
      <c r="C505" s="28"/>
      <c r="D505" s="29"/>
      <c r="E505" s="29"/>
      <c r="F505" s="28"/>
      <c r="G505" s="28"/>
      <c r="H505" s="28"/>
      <c r="I505" s="28"/>
      <c r="J505" s="28"/>
      <c r="K505" s="28"/>
      <c r="L505" s="28"/>
      <c r="M505" s="28"/>
      <c r="N505" s="28"/>
      <c r="O505" s="28"/>
      <c r="P505" s="28"/>
      <c r="Q505" s="28"/>
      <c r="R505" s="28"/>
      <c r="S505" s="28"/>
      <c r="T505" s="28"/>
      <c r="U505" s="7"/>
      <c r="V505" s="28"/>
      <c r="W505" s="28"/>
      <c r="X505" s="2"/>
      <c r="Y505" s="2"/>
      <c r="Z505" s="2"/>
    </row>
    <row r="506" spans="1:26" ht="19.5" customHeight="1">
      <c r="A506" s="28"/>
      <c r="B506" s="28"/>
      <c r="C506" s="28"/>
      <c r="D506" s="29"/>
      <c r="E506" s="29"/>
      <c r="F506" s="28"/>
      <c r="G506" s="28"/>
      <c r="H506" s="28"/>
      <c r="I506" s="28"/>
      <c r="J506" s="28"/>
      <c r="K506" s="28"/>
      <c r="L506" s="28"/>
      <c r="M506" s="28"/>
      <c r="N506" s="28"/>
      <c r="O506" s="28"/>
      <c r="P506" s="28"/>
      <c r="Q506" s="28"/>
      <c r="R506" s="28"/>
      <c r="S506" s="28"/>
      <c r="T506" s="28"/>
      <c r="U506" s="7"/>
      <c r="V506" s="28"/>
      <c r="W506" s="28"/>
      <c r="X506" s="2"/>
      <c r="Y506" s="2"/>
      <c r="Z506" s="2"/>
    </row>
    <row r="507" spans="1:26" ht="19.5" customHeight="1">
      <c r="A507" s="28"/>
      <c r="B507" s="28"/>
      <c r="C507" s="28"/>
      <c r="D507" s="29"/>
      <c r="E507" s="29"/>
      <c r="F507" s="28"/>
      <c r="G507" s="28"/>
      <c r="H507" s="28"/>
      <c r="I507" s="28"/>
      <c r="J507" s="28"/>
      <c r="K507" s="28"/>
      <c r="L507" s="28"/>
      <c r="M507" s="28"/>
      <c r="N507" s="28"/>
      <c r="O507" s="28"/>
      <c r="P507" s="28"/>
      <c r="Q507" s="28"/>
      <c r="R507" s="28"/>
      <c r="S507" s="28"/>
      <c r="T507" s="28"/>
      <c r="U507" s="7"/>
      <c r="V507" s="28"/>
      <c r="W507" s="28"/>
      <c r="X507" s="2"/>
      <c r="Y507" s="2"/>
      <c r="Z507" s="2"/>
    </row>
    <row r="508" spans="1:26" ht="19.5" customHeight="1">
      <c r="A508" s="28"/>
      <c r="B508" s="28"/>
      <c r="C508" s="28"/>
      <c r="D508" s="29"/>
      <c r="E508" s="29"/>
      <c r="F508" s="28"/>
      <c r="G508" s="28"/>
      <c r="H508" s="28"/>
      <c r="I508" s="28"/>
      <c r="J508" s="28"/>
      <c r="K508" s="28"/>
      <c r="L508" s="28"/>
      <c r="M508" s="28"/>
      <c r="N508" s="28"/>
      <c r="O508" s="28"/>
      <c r="P508" s="28"/>
      <c r="Q508" s="28"/>
      <c r="R508" s="28"/>
      <c r="S508" s="28"/>
      <c r="T508" s="28"/>
      <c r="U508" s="7"/>
      <c r="V508" s="28"/>
      <c r="W508" s="28"/>
      <c r="X508" s="2"/>
      <c r="Y508" s="2"/>
      <c r="Z508" s="2"/>
    </row>
    <row r="509" spans="1:26" ht="19.5" customHeight="1">
      <c r="A509" s="28"/>
      <c r="B509" s="28"/>
      <c r="C509" s="28"/>
      <c r="D509" s="29"/>
      <c r="E509" s="29"/>
      <c r="F509" s="28"/>
      <c r="G509" s="28"/>
      <c r="H509" s="28"/>
      <c r="I509" s="28"/>
      <c r="J509" s="28"/>
      <c r="K509" s="28"/>
      <c r="L509" s="28"/>
      <c r="M509" s="28"/>
      <c r="N509" s="28"/>
      <c r="O509" s="28"/>
      <c r="P509" s="28"/>
      <c r="Q509" s="28"/>
      <c r="R509" s="28"/>
      <c r="S509" s="28"/>
      <c r="T509" s="28"/>
      <c r="U509" s="7"/>
      <c r="V509" s="28"/>
      <c r="W509" s="28"/>
      <c r="X509" s="2"/>
      <c r="Y509" s="2"/>
      <c r="Z509" s="2"/>
    </row>
    <row r="510" spans="1:26" ht="19.5" customHeight="1">
      <c r="A510" s="28"/>
      <c r="B510" s="28"/>
      <c r="C510" s="28"/>
      <c r="D510" s="29"/>
      <c r="E510" s="29"/>
      <c r="F510" s="28"/>
      <c r="G510" s="28"/>
      <c r="H510" s="28"/>
      <c r="I510" s="28"/>
      <c r="J510" s="28"/>
      <c r="K510" s="28"/>
      <c r="L510" s="28"/>
      <c r="M510" s="28"/>
      <c r="N510" s="28"/>
      <c r="O510" s="28"/>
      <c r="P510" s="28"/>
      <c r="Q510" s="28"/>
      <c r="R510" s="28"/>
      <c r="S510" s="28"/>
      <c r="T510" s="28"/>
      <c r="U510" s="7"/>
      <c r="V510" s="28"/>
      <c r="W510" s="28"/>
      <c r="X510" s="2"/>
      <c r="Y510" s="2"/>
      <c r="Z510" s="2"/>
    </row>
    <row r="511" spans="1:26" ht="19.5" customHeight="1">
      <c r="A511" s="28"/>
      <c r="B511" s="28"/>
      <c r="C511" s="28"/>
      <c r="D511" s="29"/>
      <c r="E511" s="29"/>
      <c r="F511" s="28"/>
      <c r="G511" s="28"/>
      <c r="H511" s="28"/>
      <c r="I511" s="28"/>
      <c r="J511" s="28"/>
      <c r="K511" s="28"/>
      <c r="L511" s="28"/>
      <c r="M511" s="28"/>
      <c r="N511" s="28"/>
      <c r="O511" s="28"/>
      <c r="P511" s="28"/>
      <c r="Q511" s="28"/>
      <c r="R511" s="28"/>
      <c r="S511" s="28"/>
      <c r="T511" s="28"/>
      <c r="U511" s="7"/>
      <c r="V511" s="28"/>
      <c r="W511" s="28"/>
      <c r="X511" s="2"/>
      <c r="Y511" s="2"/>
      <c r="Z511" s="2"/>
    </row>
    <row r="512" spans="1:26" ht="19.5" customHeight="1">
      <c r="A512" s="28"/>
      <c r="B512" s="28"/>
      <c r="C512" s="28"/>
      <c r="D512" s="29"/>
      <c r="E512" s="29"/>
      <c r="F512" s="28"/>
      <c r="G512" s="28"/>
      <c r="H512" s="28"/>
      <c r="I512" s="28"/>
      <c r="J512" s="28"/>
      <c r="K512" s="28"/>
      <c r="L512" s="28"/>
      <c r="M512" s="28"/>
      <c r="N512" s="28"/>
      <c r="O512" s="28"/>
      <c r="P512" s="28"/>
      <c r="Q512" s="28"/>
      <c r="R512" s="28"/>
      <c r="S512" s="28"/>
      <c r="T512" s="28"/>
      <c r="U512" s="7"/>
      <c r="V512" s="28"/>
      <c r="W512" s="28"/>
      <c r="X512" s="2"/>
      <c r="Y512" s="2"/>
      <c r="Z512" s="2"/>
    </row>
    <row r="513" spans="1:26" ht="19.5" customHeight="1">
      <c r="A513" s="28"/>
      <c r="B513" s="28"/>
      <c r="C513" s="28"/>
      <c r="D513" s="29"/>
      <c r="E513" s="29"/>
      <c r="F513" s="28"/>
      <c r="G513" s="28"/>
      <c r="H513" s="28"/>
      <c r="I513" s="28"/>
      <c r="J513" s="28"/>
      <c r="K513" s="28"/>
      <c r="L513" s="28"/>
      <c r="M513" s="28"/>
      <c r="N513" s="28"/>
      <c r="O513" s="28"/>
      <c r="P513" s="28"/>
      <c r="Q513" s="28"/>
      <c r="R513" s="28"/>
      <c r="S513" s="28"/>
      <c r="T513" s="28"/>
      <c r="U513" s="7"/>
      <c r="V513" s="28"/>
      <c r="W513" s="28"/>
      <c r="X513" s="2"/>
      <c r="Y513" s="2"/>
      <c r="Z513" s="2"/>
    </row>
    <row r="514" spans="1:26" ht="19.5" customHeight="1">
      <c r="A514" s="28"/>
      <c r="B514" s="28"/>
      <c r="C514" s="28"/>
      <c r="D514" s="29"/>
      <c r="E514" s="29"/>
      <c r="F514" s="28"/>
      <c r="G514" s="28"/>
      <c r="H514" s="28"/>
      <c r="I514" s="28"/>
      <c r="J514" s="28"/>
      <c r="K514" s="28"/>
      <c r="L514" s="28"/>
      <c r="M514" s="28"/>
      <c r="N514" s="28"/>
      <c r="O514" s="28"/>
      <c r="P514" s="28"/>
      <c r="Q514" s="28"/>
      <c r="R514" s="28"/>
      <c r="S514" s="28"/>
      <c r="T514" s="28"/>
      <c r="U514" s="7"/>
      <c r="V514" s="28"/>
      <c r="W514" s="28"/>
      <c r="X514" s="2"/>
      <c r="Y514" s="2"/>
      <c r="Z514" s="2"/>
    </row>
    <row r="515" spans="1:26" ht="19.5" customHeight="1">
      <c r="A515" s="28"/>
      <c r="B515" s="28"/>
      <c r="C515" s="28"/>
      <c r="D515" s="29"/>
      <c r="E515" s="29"/>
      <c r="F515" s="28"/>
      <c r="G515" s="28"/>
      <c r="H515" s="28"/>
      <c r="I515" s="28"/>
      <c r="J515" s="28"/>
      <c r="K515" s="28"/>
      <c r="L515" s="28"/>
      <c r="M515" s="28"/>
      <c r="N515" s="28"/>
      <c r="O515" s="28"/>
      <c r="P515" s="28"/>
      <c r="Q515" s="28"/>
      <c r="R515" s="28"/>
      <c r="S515" s="28"/>
      <c r="T515" s="28"/>
      <c r="U515" s="7"/>
      <c r="V515" s="28"/>
      <c r="W515" s="28"/>
      <c r="X515" s="2"/>
      <c r="Y515" s="2"/>
      <c r="Z515" s="2"/>
    </row>
    <row r="516" spans="1:26" ht="19.5" customHeight="1">
      <c r="A516" s="28"/>
      <c r="B516" s="28"/>
      <c r="C516" s="28"/>
      <c r="D516" s="29"/>
      <c r="E516" s="29"/>
      <c r="F516" s="28"/>
      <c r="G516" s="28"/>
      <c r="H516" s="28"/>
      <c r="I516" s="28"/>
      <c r="J516" s="28"/>
      <c r="K516" s="28"/>
      <c r="L516" s="28"/>
      <c r="M516" s="28"/>
      <c r="N516" s="28"/>
      <c r="O516" s="28"/>
      <c r="P516" s="28"/>
      <c r="Q516" s="28"/>
      <c r="R516" s="28"/>
      <c r="S516" s="28"/>
      <c r="T516" s="28"/>
      <c r="U516" s="7"/>
      <c r="V516" s="28"/>
      <c r="W516" s="28"/>
      <c r="X516" s="2"/>
      <c r="Y516" s="2"/>
      <c r="Z516" s="2"/>
    </row>
    <row r="517" spans="1:26" ht="19.5" customHeight="1">
      <c r="A517" s="28"/>
      <c r="B517" s="28"/>
      <c r="C517" s="28"/>
      <c r="D517" s="29"/>
      <c r="E517" s="29"/>
      <c r="F517" s="28"/>
      <c r="G517" s="28"/>
      <c r="H517" s="28"/>
      <c r="I517" s="28"/>
      <c r="J517" s="28"/>
      <c r="K517" s="28"/>
      <c r="L517" s="28"/>
      <c r="M517" s="28"/>
      <c r="N517" s="28"/>
      <c r="O517" s="28"/>
      <c r="P517" s="28"/>
      <c r="Q517" s="28"/>
      <c r="R517" s="28"/>
      <c r="S517" s="28"/>
      <c r="T517" s="28"/>
      <c r="U517" s="7"/>
      <c r="V517" s="28"/>
      <c r="W517" s="28"/>
      <c r="X517" s="2"/>
      <c r="Y517" s="2"/>
      <c r="Z517" s="2"/>
    </row>
    <row r="518" spans="1:26" ht="19.5" customHeight="1">
      <c r="A518" s="28"/>
      <c r="B518" s="28"/>
      <c r="C518" s="28"/>
      <c r="D518" s="29"/>
      <c r="E518" s="29"/>
      <c r="F518" s="28"/>
      <c r="G518" s="28"/>
      <c r="H518" s="28"/>
      <c r="I518" s="28"/>
      <c r="J518" s="28"/>
      <c r="K518" s="28"/>
      <c r="L518" s="28"/>
      <c r="M518" s="28"/>
      <c r="N518" s="28"/>
      <c r="O518" s="28"/>
      <c r="P518" s="28"/>
      <c r="Q518" s="28"/>
      <c r="R518" s="28"/>
      <c r="S518" s="28"/>
      <c r="T518" s="28"/>
      <c r="U518" s="7"/>
      <c r="V518" s="28"/>
      <c r="W518" s="28"/>
      <c r="X518" s="2"/>
      <c r="Y518" s="2"/>
      <c r="Z518" s="2"/>
    </row>
    <row r="519" spans="1:26" ht="19.5" customHeight="1">
      <c r="A519" s="28"/>
      <c r="B519" s="28"/>
      <c r="C519" s="28"/>
      <c r="D519" s="29"/>
      <c r="E519" s="29"/>
      <c r="F519" s="28"/>
      <c r="G519" s="28"/>
      <c r="H519" s="28"/>
      <c r="I519" s="28"/>
      <c r="J519" s="28"/>
      <c r="K519" s="28"/>
      <c r="L519" s="28"/>
      <c r="M519" s="28"/>
      <c r="N519" s="28"/>
      <c r="O519" s="28"/>
      <c r="P519" s="28"/>
      <c r="Q519" s="28"/>
      <c r="R519" s="28"/>
      <c r="S519" s="28"/>
      <c r="T519" s="28"/>
      <c r="U519" s="7"/>
      <c r="V519" s="28"/>
      <c r="W519" s="28"/>
      <c r="X519" s="2"/>
      <c r="Y519" s="2"/>
      <c r="Z519" s="2"/>
    </row>
    <row r="520" spans="1:26" ht="19.5" customHeight="1">
      <c r="A520" s="28"/>
      <c r="B520" s="28"/>
      <c r="C520" s="28"/>
      <c r="D520" s="29"/>
      <c r="E520" s="29"/>
      <c r="F520" s="28"/>
      <c r="G520" s="28"/>
      <c r="H520" s="28"/>
      <c r="I520" s="28"/>
      <c r="J520" s="28"/>
      <c r="K520" s="28"/>
      <c r="L520" s="28"/>
      <c r="M520" s="28"/>
      <c r="N520" s="28"/>
      <c r="O520" s="28"/>
      <c r="P520" s="28"/>
      <c r="Q520" s="28"/>
      <c r="R520" s="28"/>
      <c r="S520" s="28"/>
      <c r="T520" s="28"/>
      <c r="U520" s="7"/>
      <c r="V520" s="28"/>
      <c r="W520" s="28"/>
      <c r="X520" s="2"/>
      <c r="Y520" s="2"/>
      <c r="Z520" s="2"/>
    </row>
    <row r="521" spans="1:26" ht="19.5" customHeight="1">
      <c r="A521" s="28"/>
      <c r="B521" s="28"/>
      <c r="C521" s="28"/>
      <c r="D521" s="29"/>
      <c r="E521" s="29"/>
      <c r="F521" s="28"/>
      <c r="G521" s="28"/>
      <c r="H521" s="28"/>
      <c r="I521" s="28"/>
      <c r="J521" s="28"/>
      <c r="K521" s="28"/>
      <c r="L521" s="28"/>
      <c r="M521" s="28"/>
      <c r="N521" s="28"/>
      <c r="O521" s="28"/>
      <c r="P521" s="28"/>
      <c r="Q521" s="28"/>
      <c r="R521" s="28"/>
      <c r="S521" s="28"/>
      <c r="T521" s="28"/>
      <c r="U521" s="7"/>
      <c r="V521" s="28"/>
      <c r="W521" s="28"/>
      <c r="X521" s="2"/>
      <c r="Y521" s="2"/>
      <c r="Z521" s="2"/>
    </row>
    <row r="522" spans="1:26" ht="19.5" customHeight="1">
      <c r="A522" s="28"/>
      <c r="B522" s="28"/>
      <c r="C522" s="28"/>
      <c r="D522" s="29"/>
      <c r="E522" s="29"/>
      <c r="F522" s="28"/>
      <c r="G522" s="28"/>
      <c r="H522" s="28"/>
      <c r="I522" s="28"/>
      <c r="J522" s="28"/>
      <c r="K522" s="28"/>
      <c r="L522" s="28"/>
      <c r="M522" s="28"/>
      <c r="N522" s="28"/>
      <c r="O522" s="28"/>
      <c r="P522" s="28"/>
      <c r="Q522" s="28"/>
      <c r="R522" s="28"/>
      <c r="S522" s="28"/>
      <c r="T522" s="28"/>
      <c r="U522" s="7"/>
      <c r="V522" s="28"/>
      <c r="W522" s="28"/>
      <c r="X522" s="2"/>
      <c r="Y522" s="2"/>
      <c r="Z522" s="2"/>
    </row>
    <row r="523" spans="1:26" ht="19.5" customHeight="1">
      <c r="A523" s="28"/>
      <c r="B523" s="28"/>
      <c r="C523" s="28"/>
      <c r="D523" s="29"/>
      <c r="E523" s="29"/>
      <c r="F523" s="28"/>
      <c r="G523" s="28"/>
      <c r="H523" s="28"/>
      <c r="I523" s="28"/>
      <c r="J523" s="28"/>
      <c r="K523" s="28"/>
      <c r="L523" s="28"/>
      <c r="M523" s="28"/>
      <c r="N523" s="28"/>
      <c r="O523" s="28"/>
      <c r="P523" s="28"/>
      <c r="Q523" s="28"/>
      <c r="R523" s="28"/>
      <c r="S523" s="28"/>
      <c r="T523" s="28"/>
      <c r="U523" s="7"/>
      <c r="V523" s="28"/>
      <c r="W523" s="28"/>
      <c r="X523" s="2"/>
      <c r="Y523" s="2"/>
      <c r="Z523" s="2"/>
    </row>
    <row r="524" spans="1:26" ht="19.5" customHeight="1">
      <c r="A524" s="28"/>
      <c r="B524" s="28"/>
      <c r="C524" s="28"/>
      <c r="D524" s="29"/>
      <c r="E524" s="29"/>
      <c r="F524" s="28"/>
      <c r="G524" s="28"/>
      <c r="H524" s="28"/>
      <c r="I524" s="28"/>
      <c r="J524" s="28"/>
      <c r="K524" s="28"/>
      <c r="L524" s="28"/>
      <c r="M524" s="28"/>
      <c r="N524" s="28"/>
      <c r="O524" s="28"/>
      <c r="P524" s="28"/>
      <c r="Q524" s="28"/>
      <c r="R524" s="28"/>
      <c r="S524" s="28"/>
      <c r="T524" s="28"/>
      <c r="U524" s="7"/>
      <c r="V524" s="28"/>
      <c r="W524" s="28"/>
      <c r="X524" s="2"/>
      <c r="Y524" s="2"/>
      <c r="Z524" s="2"/>
    </row>
    <row r="525" spans="1:26" ht="19.5" customHeight="1">
      <c r="A525" s="28"/>
      <c r="B525" s="28"/>
      <c r="C525" s="28"/>
      <c r="D525" s="29"/>
      <c r="E525" s="29"/>
      <c r="F525" s="28"/>
      <c r="G525" s="28"/>
      <c r="H525" s="28"/>
      <c r="I525" s="28"/>
      <c r="J525" s="28"/>
      <c r="K525" s="28"/>
      <c r="L525" s="28"/>
      <c r="M525" s="28"/>
      <c r="N525" s="28"/>
      <c r="O525" s="28"/>
      <c r="P525" s="28"/>
      <c r="Q525" s="28"/>
      <c r="R525" s="28"/>
      <c r="S525" s="28"/>
      <c r="T525" s="28"/>
      <c r="U525" s="7"/>
      <c r="V525" s="28"/>
      <c r="W525" s="28"/>
      <c r="X525" s="2"/>
      <c r="Y525" s="2"/>
      <c r="Z525" s="2"/>
    </row>
    <row r="526" spans="1:26" ht="19.5" customHeight="1">
      <c r="A526" s="28"/>
      <c r="B526" s="28"/>
      <c r="C526" s="28"/>
      <c r="D526" s="29"/>
      <c r="E526" s="29"/>
      <c r="F526" s="28"/>
      <c r="G526" s="28"/>
      <c r="H526" s="28"/>
      <c r="I526" s="28"/>
      <c r="J526" s="28"/>
      <c r="K526" s="28"/>
      <c r="L526" s="28"/>
      <c r="M526" s="28"/>
      <c r="N526" s="28"/>
      <c r="O526" s="28"/>
      <c r="P526" s="28"/>
      <c r="Q526" s="28"/>
      <c r="R526" s="28"/>
      <c r="S526" s="28"/>
      <c r="T526" s="28"/>
      <c r="U526" s="7"/>
      <c r="V526" s="28"/>
      <c r="W526" s="28"/>
      <c r="X526" s="2"/>
      <c r="Y526" s="2"/>
      <c r="Z526" s="2"/>
    </row>
    <row r="527" spans="1:26" ht="19.5" customHeight="1">
      <c r="A527" s="28"/>
      <c r="B527" s="28"/>
      <c r="C527" s="28"/>
      <c r="D527" s="29"/>
      <c r="E527" s="29"/>
      <c r="F527" s="28"/>
      <c r="G527" s="28"/>
      <c r="H527" s="28"/>
      <c r="I527" s="28"/>
      <c r="J527" s="28"/>
      <c r="K527" s="28"/>
      <c r="L527" s="28"/>
      <c r="M527" s="28"/>
      <c r="N527" s="28"/>
      <c r="O527" s="28"/>
      <c r="P527" s="28"/>
      <c r="Q527" s="28"/>
      <c r="R527" s="28"/>
      <c r="S527" s="28"/>
      <c r="T527" s="28"/>
      <c r="U527" s="7"/>
      <c r="V527" s="28"/>
      <c r="W527" s="28"/>
      <c r="X527" s="2"/>
      <c r="Y527" s="2"/>
      <c r="Z527" s="2"/>
    </row>
    <row r="528" spans="1:26" ht="19.5" customHeight="1">
      <c r="A528" s="28"/>
      <c r="B528" s="28"/>
      <c r="C528" s="28"/>
      <c r="D528" s="29"/>
      <c r="E528" s="29"/>
      <c r="F528" s="28"/>
      <c r="G528" s="28"/>
      <c r="H528" s="28"/>
      <c r="I528" s="28"/>
      <c r="J528" s="28"/>
      <c r="K528" s="28"/>
      <c r="L528" s="28"/>
      <c r="M528" s="28"/>
      <c r="N528" s="28"/>
      <c r="O528" s="28"/>
      <c r="P528" s="28"/>
      <c r="Q528" s="28"/>
      <c r="R528" s="28"/>
      <c r="S528" s="28"/>
      <c r="T528" s="28"/>
      <c r="U528" s="7"/>
      <c r="V528" s="28"/>
      <c r="W528" s="28"/>
      <c r="X528" s="2"/>
      <c r="Y528" s="2"/>
      <c r="Z528" s="2"/>
    </row>
    <row r="529" spans="1:26" ht="19.5" customHeight="1">
      <c r="A529" s="28"/>
      <c r="B529" s="28"/>
      <c r="C529" s="28"/>
      <c r="D529" s="29"/>
      <c r="E529" s="29"/>
      <c r="F529" s="28"/>
      <c r="G529" s="28"/>
      <c r="H529" s="28"/>
      <c r="I529" s="28"/>
      <c r="J529" s="28"/>
      <c r="K529" s="28"/>
      <c r="L529" s="28"/>
      <c r="M529" s="28"/>
      <c r="N529" s="28"/>
      <c r="O529" s="28"/>
      <c r="P529" s="28"/>
      <c r="Q529" s="28"/>
      <c r="R529" s="28"/>
      <c r="S529" s="28"/>
      <c r="T529" s="28"/>
      <c r="U529" s="7"/>
      <c r="V529" s="28"/>
      <c r="W529" s="28"/>
      <c r="X529" s="2"/>
      <c r="Y529" s="2"/>
      <c r="Z529" s="2"/>
    </row>
    <row r="530" spans="1:26" ht="19.5" customHeight="1">
      <c r="A530" s="28"/>
      <c r="B530" s="28"/>
      <c r="C530" s="28"/>
      <c r="D530" s="29"/>
      <c r="E530" s="29"/>
      <c r="F530" s="28"/>
      <c r="G530" s="28"/>
      <c r="H530" s="28"/>
      <c r="I530" s="28"/>
      <c r="J530" s="28"/>
      <c r="K530" s="28"/>
      <c r="L530" s="28"/>
      <c r="M530" s="28"/>
      <c r="N530" s="28"/>
      <c r="O530" s="28"/>
      <c r="P530" s="28"/>
      <c r="Q530" s="28"/>
      <c r="R530" s="28"/>
      <c r="S530" s="28"/>
      <c r="T530" s="28"/>
      <c r="U530" s="7"/>
      <c r="V530" s="28"/>
      <c r="W530" s="28"/>
      <c r="X530" s="2"/>
      <c r="Y530" s="2"/>
      <c r="Z530" s="2"/>
    </row>
    <row r="531" spans="1:26" ht="19.5" customHeight="1">
      <c r="A531" s="28"/>
      <c r="B531" s="28"/>
      <c r="C531" s="28"/>
      <c r="D531" s="29"/>
      <c r="E531" s="29"/>
      <c r="F531" s="28"/>
      <c r="G531" s="28"/>
      <c r="H531" s="28"/>
      <c r="I531" s="28"/>
      <c r="J531" s="28"/>
      <c r="K531" s="28"/>
      <c r="L531" s="28"/>
      <c r="M531" s="28"/>
      <c r="N531" s="28"/>
      <c r="O531" s="28"/>
      <c r="P531" s="28"/>
      <c r="Q531" s="28"/>
      <c r="R531" s="28"/>
      <c r="S531" s="28"/>
      <c r="T531" s="28"/>
      <c r="U531" s="7"/>
      <c r="V531" s="28"/>
      <c r="W531" s="28"/>
      <c r="X531" s="2"/>
      <c r="Y531" s="2"/>
      <c r="Z531" s="2"/>
    </row>
    <row r="532" spans="1:26" ht="19.5" customHeight="1">
      <c r="A532" s="28"/>
      <c r="B532" s="28"/>
      <c r="C532" s="28"/>
      <c r="D532" s="29"/>
      <c r="E532" s="29"/>
      <c r="F532" s="28"/>
      <c r="G532" s="28"/>
      <c r="H532" s="28"/>
      <c r="I532" s="28"/>
      <c r="J532" s="28"/>
      <c r="K532" s="28"/>
      <c r="L532" s="28"/>
      <c r="M532" s="28"/>
      <c r="N532" s="28"/>
      <c r="O532" s="28"/>
      <c r="P532" s="28"/>
      <c r="Q532" s="28"/>
      <c r="R532" s="28"/>
      <c r="S532" s="28"/>
      <c r="T532" s="28"/>
      <c r="U532" s="7"/>
      <c r="V532" s="28"/>
      <c r="W532" s="28"/>
      <c r="X532" s="2"/>
      <c r="Y532" s="2"/>
      <c r="Z532" s="2"/>
    </row>
    <row r="533" spans="1:26" ht="19.5" customHeight="1">
      <c r="A533" s="28"/>
      <c r="B533" s="28"/>
      <c r="C533" s="28"/>
      <c r="D533" s="29"/>
      <c r="E533" s="29"/>
      <c r="F533" s="28"/>
      <c r="G533" s="28"/>
      <c r="H533" s="28"/>
      <c r="I533" s="28"/>
      <c r="J533" s="28"/>
      <c r="K533" s="28"/>
      <c r="L533" s="28"/>
      <c r="M533" s="28"/>
      <c r="N533" s="28"/>
      <c r="O533" s="28"/>
      <c r="P533" s="28"/>
      <c r="Q533" s="28"/>
      <c r="R533" s="28"/>
      <c r="S533" s="28"/>
      <c r="T533" s="28"/>
      <c r="U533" s="7"/>
      <c r="V533" s="28"/>
      <c r="W533" s="28"/>
      <c r="X533" s="2"/>
      <c r="Y533" s="2"/>
      <c r="Z533" s="2"/>
    </row>
    <row r="534" spans="1:26" ht="19.5" customHeight="1">
      <c r="A534" s="28"/>
      <c r="B534" s="28"/>
      <c r="C534" s="28"/>
      <c r="D534" s="29"/>
      <c r="E534" s="29"/>
      <c r="F534" s="28"/>
      <c r="G534" s="28"/>
      <c r="H534" s="28"/>
      <c r="I534" s="28"/>
      <c r="J534" s="28"/>
      <c r="K534" s="28"/>
      <c r="L534" s="28"/>
      <c r="M534" s="28"/>
      <c r="N534" s="28"/>
      <c r="O534" s="28"/>
      <c r="P534" s="28"/>
      <c r="Q534" s="28"/>
      <c r="R534" s="28"/>
      <c r="S534" s="28"/>
      <c r="T534" s="28"/>
      <c r="U534" s="7"/>
      <c r="V534" s="28"/>
      <c r="W534" s="28"/>
      <c r="X534" s="2"/>
      <c r="Y534" s="2"/>
      <c r="Z534" s="2"/>
    </row>
    <row r="535" spans="1:26" ht="19.5" customHeight="1">
      <c r="A535" s="28"/>
      <c r="B535" s="28"/>
      <c r="C535" s="28"/>
      <c r="D535" s="29"/>
      <c r="E535" s="29"/>
      <c r="F535" s="28"/>
      <c r="G535" s="28"/>
      <c r="H535" s="28"/>
      <c r="I535" s="28"/>
      <c r="J535" s="28"/>
      <c r="K535" s="28"/>
      <c r="L535" s="28"/>
      <c r="M535" s="28"/>
      <c r="N535" s="28"/>
      <c r="O535" s="28"/>
      <c r="P535" s="28"/>
      <c r="Q535" s="28"/>
      <c r="R535" s="28"/>
      <c r="S535" s="28"/>
      <c r="T535" s="28"/>
      <c r="U535" s="7"/>
      <c r="V535" s="28"/>
      <c r="W535" s="28"/>
      <c r="X535" s="2"/>
      <c r="Y535" s="2"/>
      <c r="Z535" s="2"/>
    </row>
    <row r="536" spans="1:26" ht="19.5" customHeight="1">
      <c r="A536" s="28"/>
      <c r="B536" s="28"/>
      <c r="C536" s="28"/>
      <c r="D536" s="29"/>
      <c r="E536" s="29"/>
      <c r="F536" s="28"/>
      <c r="G536" s="28"/>
      <c r="H536" s="28"/>
      <c r="I536" s="28"/>
      <c r="J536" s="28"/>
      <c r="K536" s="28"/>
      <c r="L536" s="28"/>
      <c r="M536" s="28"/>
      <c r="N536" s="28"/>
      <c r="O536" s="28"/>
      <c r="P536" s="28"/>
      <c r="Q536" s="28"/>
      <c r="R536" s="28"/>
      <c r="S536" s="28"/>
      <c r="T536" s="28"/>
      <c r="U536" s="7"/>
      <c r="V536" s="28"/>
      <c r="W536" s="28"/>
      <c r="X536" s="2"/>
      <c r="Y536" s="2"/>
      <c r="Z536" s="2"/>
    </row>
    <row r="537" spans="1:26" ht="19.5" customHeight="1">
      <c r="A537" s="28"/>
      <c r="B537" s="28"/>
      <c r="C537" s="28"/>
      <c r="D537" s="29"/>
      <c r="E537" s="29"/>
      <c r="F537" s="28"/>
      <c r="G537" s="28"/>
      <c r="H537" s="28"/>
      <c r="I537" s="28"/>
      <c r="J537" s="28"/>
      <c r="K537" s="28"/>
      <c r="L537" s="28"/>
      <c r="M537" s="28"/>
      <c r="N537" s="28"/>
      <c r="O537" s="28"/>
      <c r="P537" s="28"/>
      <c r="Q537" s="28"/>
      <c r="R537" s="28"/>
      <c r="S537" s="28"/>
      <c r="T537" s="28"/>
      <c r="U537" s="7"/>
      <c r="V537" s="28"/>
      <c r="W537" s="28"/>
      <c r="X537" s="2"/>
      <c r="Y537" s="2"/>
      <c r="Z537" s="2"/>
    </row>
    <row r="538" spans="1:26" ht="19.5" customHeight="1">
      <c r="A538" s="28"/>
      <c r="B538" s="28"/>
      <c r="C538" s="28"/>
      <c r="D538" s="29"/>
      <c r="E538" s="29"/>
      <c r="F538" s="28"/>
      <c r="G538" s="28"/>
      <c r="H538" s="28"/>
      <c r="I538" s="28"/>
      <c r="J538" s="28"/>
      <c r="K538" s="28"/>
      <c r="L538" s="28"/>
      <c r="M538" s="28"/>
      <c r="N538" s="28"/>
      <c r="O538" s="28"/>
      <c r="P538" s="28"/>
      <c r="Q538" s="28"/>
      <c r="R538" s="28"/>
      <c r="S538" s="28"/>
      <c r="T538" s="28"/>
      <c r="U538" s="7"/>
      <c r="V538" s="28"/>
      <c r="W538" s="28"/>
      <c r="X538" s="2"/>
      <c r="Y538" s="2"/>
      <c r="Z538" s="2"/>
    </row>
    <row r="539" spans="1:26" ht="19.5" customHeight="1">
      <c r="A539" s="28"/>
      <c r="B539" s="28"/>
      <c r="C539" s="28"/>
      <c r="D539" s="29"/>
      <c r="E539" s="29"/>
      <c r="F539" s="28"/>
      <c r="G539" s="28"/>
      <c r="H539" s="28"/>
      <c r="I539" s="28"/>
      <c r="J539" s="28"/>
      <c r="K539" s="28"/>
      <c r="L539" s="28"/>
      <c r="M539" s="28"/>
      <c r="N539" s="28"/>
      <c r="O539" s="28"/>
      <c r="P539" s="28"/>
      <c r="Q539" s="28"/>
      <c r="R539" s="28"/>
      <c r="S539" s="28"/>
      <c r="T539" s="28"/>
      <c r="U539" s="7"/>
      <c r="V539" s="28"/>
      <c r="W539" s="28"/>
      <c r="X539" s="2"/>
      <c r="Y539" s="2"/>
      <c r="Z539" s="2"/>
    </row>
    <row r="540" spans="1:26" ht="19.5" customHeight="1">
      <c r="A540" s="28"/>
      <c r="B540" s="28"/>
      <c r="C540" s="28"/>
      <c r="D540" s="29"/>
      <c r="E540" s="29"/>
      <c r="F540" s="28"/>
      <c r="G540" s="28"/>
      <c r="H540" s="28"/>
      <c r="I540" s="28"/>
      <c r="J540" s="28"/>
      <c r="K540" s="28"/>
      <c r="L540" s="28"/>
      <c r="M540" s="28"/>
      <c r="N540" s="28"/>
      <c r="O540" s="28"/>
      <c r="P540" s="28"/>
      <c r="Q540" s="28"/>
      <c r="R540" s="28"/>
      <c r="S540" s="28"/>
      <c r="T540" s="28"/>
      <c r="U540" s="7"/>
      <c r="V540" s="28"/>
      <c r="W540" s="28"/>
      <c r="X540" s="2"/>
      <c r="Y540" s="2"/>
      <c r="Z540" s="2"/>
    </row>
    <row r="541" spans="1:26" ht="19.5" customHeight="1">
      <c r="A541" s="28"/>
      <c r="B541" s="28"/>
      <c r="C541" s="28"/>
      <c r="D541" s="29"/>
      <c r="E541" s="29"/>
      <c r="F541" s="28"/>
      <c r="G541" s="28"/>
      <c r="H541" s="28"/>
      <c r="I541" s="28"/>
      <c r="J541" s="28"/>
      <c r="K541" s="28"/>
      <c r="L541" s="28"/>
      <c r="M541" s="28"/>
      <c r="N541" s="28"/>
      <c r="O541" s="28"/>
      <c r="P541" s="28"/>
      <c r="Q541" s="28"/>
      <c r="R541" s="28"/>
      <c r="S541" s="28"/>
      <c r="T541" s="28"/>
      <c r="U541" s="7"/>
      <c r="V541" s="28"/>
      <c r="W541" s="28"/>
      <c r="X541" s="2"/>
      <c r="Y541" s="2"/>
      <c r="Z541" s="2"/>
    </row>
    <row r="542" spans="1:26" ht="19.5" customHeight="1">
      <c r="A542" s="28"/>
      <c r="B542" s="28"/>
      <c r="C542" s="28"/>
      <c r="D542" s="29"/>
      <c r="E542" s="29"/>
      <c r="F542" s="28"/>
      <c r="G542" s="28"/>
      <c r="H542" s="28"/>
      <c r="I542" s="28"/>
      <c r="J542" s="28"/>
      <c r="K542" s="28"/>
      <c r="L542" s="28"/>
      <c r="M542" s="28"/>
      <c r="N542" s="28"/>
      <c r="O542" s="28"/>
      <c r="P542" s="28"/>
      <c r="Q542" s="28"/>
      <c r="R542" s="28"/>
      <c r="S542" s="28"/>
      <c r="T542" s="28"/>
      <c r="U542" s="7"/>
      <c r="V542" s="28"/>
      <c r="W542" s="28"/>
      <c r="X542" s="2"/>
      <c r="Y542" s="2"/>
      <c r="Z542" s="2"/>
    </row>
    <row r="543" spans="1:26" ht="19.5" customHeight="1">
      <c r="A543" s="28"/>
      <c r="B543" s="28"/>
      <c r="C543" s="28"/>
      <c r="D543" s="29"/>
      <c r="E543" s="29"/>
      <c r="F543" s="28"/>
      <c r="G543" s="28"/>
      <c r="H543" s="28"/>
      <c r="I543" s="28"/>
      <c r="J543" s="28"/>
      <c r="K543" s="28"/>
      <c r="L543" s="28"/>
      <c r="M543" s="28"/>
      <c r="N543" s="28"/>
      <c r="O543" s="28"/>
      <c r="P543" s="28"/>
      <c r="Q543" s="28"/>
      <c r="R543" s="28"/>
      <c r="S543" s="28"/>
      <c r="T543" s="28"/>
      <c r="U543" s="7"/>
      <c r="V543" s="28"/>
      <c r="W543" s="28"/>
      <c r="X543" s="2"/>
      <c r="Y543" s="2"/>
      <c r="Z543" s="2"/>
    </row>
    <row r="544" spans="1:26" ht="19.5" customHeight="1">
      <c r="A544" s="28"/>
      <c r="B544" s="28"/>
      <c r="C544" s="28"/>
      <c r="D544" s="29"/>
      <c r="E544" s="29"/>
      <c r="F544" s="28"/>
      <c r="G544" s="28"/>
      <c r="H544" s="28"/>
      <c r="I544" s="28"/>
      <c r="J544" s="28"/>
      <c r="K544" s="28"/>
      <c r="L544" s="28"/>
      <c r="M544" s="28"/>
      <c r="N544" s="28"/>
      <c r="O544" s="28"/>
      <c r="P544" s="28"/>
      <c r="Q544" s="28"/>
      <c r="R544" s="28"/>
      <c r="S544" s="28"/>
      <c r="T544" s="28"/>
      <c r="U544" s="7"/>
      <c r="V544" s="28"/>
      <c r="W544" s="28"/>
      <c r="X544" s="2"/>
      <c r="Y544" s="2"/>
      <c r="Z544" s="2"/>
    </row>
    <row r="545" spans="1:26" ht="19.5" customHeight="1">
      <c r="A545" s="28"/>
      <c r="B545" s="28"/>
      <c r="C545" s="28"/>
      <c r="D545" s="29"/>
      <c r="E545" s="29"/>
      <c r="F545" s="28"/>
      <c r="G545" s="28"/>
      <c r="H545" s="28"/>
      <c r="I545" s="28"/>
      <c r="J545" s="28"/>
      <c r="K545" s="28"/>
      <c r="L545" s="28"/>
      <c r="M545" s="28"/>
      <c r="N545" s="28"/>
      <c r="O545" s="28"/>
      <c r="P545" s="28"/>
      <c r="Q545" s="28"/>
      <c r="R545" s="28"/>
      <c r="S545" s="28"/>
      <c r="T545" s="28"/>
      <c r="U545" s="7"/>
      <c r="V545" s="28"/>
      <c r="W545" s="28"/>
      <c r="X545" s="2"/>
      <c r="Y545" s="2"/>
      <c r="Z545" s="2"/>
    </row>
    <row r="546" spans="1:26" ht="19.5" customHeight="1">
      <c r="A546" s="28"/>
      <c r="B546" s="28"/>
      <c r="C546" s="28"/>
      <c r="D546" s="29"/>
      <c r="E546" s="29"/>
      <c r="F546" s="28"/>
      <c r="G546" s="28"/>
      <c r="H546" s="28"/>
      <c r="I546" s="28"/>
      <c r="J546" s="28"/>
      <c r="K546" s="28"/>
      <c r="L546" s="28"/>
      <c r="M546" s="28"/>
      <c r="N546" s="28"/>
      <c r="O546" s="28"/>
      <c r="P546" s="28"/>
      <c r="Q546" s="28"/>
      <c r="R546" s="28"/>
      <c r="S546" s="28"/>
      <c r="T546" s="28"/>
      <c r="U546" s="7"/>
      <c r="V546" s="28"/>
      <c r="W546" s="28"/>
      <c r="X546" s="2"/>
      <c r="Y546" s="2"/>
      <c r="Z546" s="2"/>
    </row>
    <row r="547" spans="1:26" ht="19.5" customHeight="1">
      <c r="A547" s="28"/>
      <c r="B547" s="28"/>
      <c r="C547" s="28"/>
      <c r="D547" s="29"/>
      <c r="E547" s="29"/>
      <c r="F547" s="28"/>
      <c r="G547" s="28"/>
      <c r="H547" s="28"/>
      <c r="I547" s="28"/>
      <c r="J547" s="28"/>
      <c r="K547" s="28"/>
      <c r="L547" s="28"/>
      <c r="M547" s="28"/>
      <c r="N547" s="28"/>
      <c r="O547" s="28"/>
      <c r="P547" s="28"/>
      <c r="Q547" s="28"/>
      <c r="R547" s="28"/>
      <c r="S547" s="28"/>
      <c r="T547" s="28"/>
      <c r="U547" s="7"/>
      <c r="V547" s="28"/>
      <c r="W547" s="28"/>
      <c r="X547" s="2"/>
      <c r="Y547" s="2"/>
      <c r="Z547" s="2"/>
    </row>
    <row r="548" spans="1:26" ht="19.5" customHeight="1">
      <c r="A548" s="28"/>
      <c r="B548" s="28"/>
      <c r="C548" s="28"/>
      <c r="D548" s="29"/>
      <c r="E548" s="29"/>
      <c r="F548" s="28"/>
      <c r="G548" s="28"/>
      <c r="H548" s="28"/>
      <c r="I548" s="28"/>
      <c r="J548" s="28"/>
      <c r="K548" s="28"/>
      <c r="L548" s="28"/>
      <c r="M548" s="28"/>
      <c r="N548" s="28"/>
      <c r="O548" s="28"/>
      <c r="P548" s="28"/>
      <c r="Q548" s="28"/>
      <c r="R548" s="28"/>
      <c r="S548" s="28"/>
      <c r="T548" s="28"/>
      <c r="U548" s="7"/>
      <c r="V548" s="28"/>
      <c r="W548" s="28"/>
      <c r="X548" s="2"/>
      <c r="Y548" s="2"/>
      <c r="Z548" s="2"/>
    </row>
    <row r="549" spans="1:26" ht="19.5" customHeight="1">
      <c r="A549" s="28"/>
      <c r="B549" s="28"/>
      <c r="C549" s="28"/>
      <c r="D549" s="29"/>
      <c r="E549" s="29"/>
      <c r="F549" s="28"/>
      <c r="G549" s="28"/>
      <c r="H549" s="28"/>
      <c r="I549" s="28"/>
      <c r="J549" s="28"/>
      <c r="K549" s="28"/>
      <c r="L549" s="28"/>
      <c r="M549" s="28"/>
      <c r="N549" s="28"/>
      <c r="O549" s="28"/>
      <c r="P549" s="28"/>
      <c r="Q549" s="28"/>
      <c r="R549" s="28"/>
      <c r="S549" s="28"/>
      <c r="T549" s="28"/>
      <c r="U549" s="7"/>
      <c r="V549" s="28"/>
      <c r="W549" s="28"/>
      <c r="X549" s="2"/>
      <c r="Y549" s="2"/>
      <c r="Z549" s="2"/>
    </row>
    <row r="550" spans="1:26" ht="19.5" customHeight="1">
      <c r="A550" s="28"/>
      <c r="B550" s="28"/>
      <c r="C550" s="28"/>
      <c r="D550" s="29"/>
      <c r="E550" s="29"/>
      <c r="F550" s="28"/>
      <c r="G550" s="28"/>
      <c r="H550" s="28"/>
      <c r="I550" s="28"/>
      <c r="J550" s="28"/>
      <c r="K550" s="28"/>
      <c r="L550" s="28"/>
      <c r="M550" s="28"/>
      <c r="N550" s="28"/>
      <c r="O550" s="28"/>
      <c r="P550" s="28"/>
      <c r="Q550" s="28"/>
      <c r="R550" s="28"/>
      <c r="S550" s="28"/>
      <c r="T550" s="28"/>
      <c r="U550" s="7"/>
      <c r="V550" s="28"/>
      <c r="W550" s="28"/>
      <c r="X550" s="2"/>
      <c r="Y550" s="2"/>
      <c r="Z550" s="2"/>
    </row>
    <row r="551" spans="1:26" ht="19.5" customHeight="1">
      <c r="A551" s="28"/>
      <c r="B551" s="28"/>
      <c r="C551" s="28"/>
      <c r="D551" s="29"/>
      <c r="E551" s="29"/>
      <c r="F551" s="28"/>
      <c r="G551" s="28"/>
      <c r="H551" s="28"/>
      <c r="I551" s="28"/>
      <c r="J551" s="28"/>
      <c r="K551" s="28"/>
      <c r="L551" s="28"/>
      <c r="M551" s="28"/>
      <c r="N551" s="28"/>
      <c r="O551" s="28"/>
      <c r="P551" s="28"/>
      <c r="Q551" s="28"/>
      <c r="R551" s="28"/>
      <c r="S551" s="28"/>
      <c r="T551" s="28"/>
      <c r="U551" s="7"/>
      <c r="V551" s="28"/>
      <c r="W551" s="28"/>
      <c r="X551" s="2"/>
      <c r="Y551" s="2"/>
      <c r="Z551" s="2"/>
    </row>
    <row r="552" spans="1:26" ht="19.5" customHeight="1">
      <c r="A552" s="28"/>
      <c r="B552" s="28"/>
      <c r="C552" s="28"/>
      <c r="D552" s="29"/>
      <c r="E552" s="29"/>
      <c r="F552" s="28"/>
      <c r="G552" s="28"/>
      <c r="H552" s="28"/>
      <c r="I552" s="28"/>
      <c r="J552" s="28"/>
      <c r="K552" s="28"/>
      <c r="L552" s="28"/>
      <c r="M552" s="28"/>
      <c r="N552" s="28"/>
      <c r="O552" s="28"/>
      <c r="P552" s="28"/>
      <c r="Q552" s="28"/>
      <c r="R552" s="28"/>
      <c r="S552" s="28"/>
      <c r="T552" s="28"/>
      <c r="U552" s="7"/>
      <c r="V552" s="28"/>
      <c r="W552" s="28"/>
      <c r="X552" s="2"/>
      <c r="Y552" s="2"/>
      <c r="Z552" s="2"/>
    </row>
    <row r="553" spans="1:26" ht="19.5" customHeight="1">
      <c r="A553" s="28"/>
      <c r="B553" s="28"/>
      <c r="C553" s="28"/>
      <c r="D553" s="29"/>
      <c r="E553" s="29"/>
      <c r="F553" s="28"/>
      <c r="G553" s="28"/>
      <c r="H553" s="28"/>
      <c r="I553" s="28"/>
      <c r="J553" s="28"/>
      <c r="K553" s="28"/>
      <c r="L553" s="28"/>
      <c r="M553" s="28"/>
      <c r="N553" s="28"/>
      <c r="O553" s="28"/>
      <c r="P553" s="28"/>
      <c r="Q553" s="28"/>
      <c r="R553" s="28"/>
      <c r="S553" s="28"/>
      <c r="T553" s="28"/>
      <c r="U553" s="7"/>
      <c r="V553" s="28"/>
      <c r="W553" s="28"/>
      <c r="X553" s="2"/>
      <c r="Y553" s="2"/>
      <c r="Z553" s="2"/>
    </row>
    <row r="554" spans="1:26" ht="19.5" customHeight="1">
      <c r="A554" s="28"/>
      <c r="B554" s="28"/>
      <c r="C554" s="28"/>
      <c r="D554" s="29"/>
      <c r="E554" s="29"/>
      <c r="F554" s="28"/>
      <c r="G554" s="28"/>
      <c r="H554" s="28"/>
      <c r="I554" s="28"/>
      <c r="J554" s="28"/>
      <c r="K554" s="28"/>
      <c r="L554" s="28"/>
      <c r="M554" s="28"/>
      <c r="N554" s="28"/>
      <c r="O554" s="28"/>
      <c r="P554" s="28"/>
      <c r="Q554" s="28"/>
      <c r="R554" s="28"/>
      <c r="S554" s="28"/>
      <c r="T554" s="28"/>
      <c r="U554" s="7"/>
      <c r="V554" s="28"/>
      <c r="W554" s="28"/>
      <c r="X554" s="2"/>
      <c r="Y554" s="2"/>
      <c r="Z554" s="2"/>
    </row>
    <row r="555" spans="1:26" ht="19.5" customHeight="1">
      <c r="A555" s="28"/>
      <c r="B555" s="28"/>
      <c r="C555" s="28"/>
      <c r="D555" s="29"/>
      <c r="E555" s="29"/>
      <c r="F555" s="28"/>
      <c r="G555" s="28"/>
      <c r="H555" s="28"/>
      <c r="I555" s="28"/>
      <c r="J555" s="28"/>
      <c r="K555" s="28"/>
      <c r="L555" s="28"/>
      <c r="M555" s="28"/>
      <c r="N555" s="28"/>
      <c r="O555" s="28"/>
      <c r="P555" s="28"/>
      <c r="Q555" s="28"/>
      <c r="R555" s="28"/>
      <c r="S555" s="28"/>
      <c r="T555" s="28"/>
      <c r="U555" s="7"/>
      <c r="V555" s="28"/>
      <c r="W555" s="28"/>
      <c r="X555" s="2"/>
      <c r="Y555" s="2"/>
      <c r="Z555" s="2"/>
    </row>
    <row r="556" spans="1:26" ht="19.5" customHeight="1">
      <c r="A556" s="28"/>
      <c r="B556" s="28"/>
      <c r="C556" s="28"/>
      <c r="D556" s="29"/>
      <c r="E556" s="29"/>
      <c r="F556" s="28"/>
      <c r="G556" s="28"/>
      <c r="H556" s="28"/>
      <c r="I556" s="28"/>
      <c r="J556" s="28"/>
      <c r="K556" s="28"/>
      <c r="L556" s="28"/>
      <c r="M556" s="28"/>
      <c r="N556" s="28"/>
      <c r="O556" s="28"/>
      <c r="P556" s="28"/>
      <c r="Q556" s="28"/>
      <c r="R556" s="28"/>
      <c r="S556" s="28"/>
      <c r="T556" s="28"/>
      <c r="U556" s="7"/>
      <c r="V556" s="28"/>
      <c r="W556" s="28"/>
      <c r="X556" s="2"/>
      <c r="Y556" s="2"/>
      <c r="Z556" s="2"/>
    </row>
    <row r="557" spans="1:26" ht="19.5" customHeight="1">
      <c r="A557" s="28"/>
      <c r="B557" s="28"/>
      <c r="C557" s="28"/>
      <c r="D557" s="29"/>
      <c r="E557" s="29"/>
      <c r="F557" s="28"/>
      <c r="G557" s="28"/>
      <c r="H557" s="28"/>
      <c r="I557" s="28"/>
      <c r="J557" s="28"/>
      <c r="K557" s="28"/>
      <c r="L557" s="28"/>
      <c r="M557" s="28"/>
      <c r="N557" s="28"/>
      <c r="O557" s="28"/>
      <c r="P557" s="28"/>
      <c r="Q557" s="28"/>
      <c r="R557" s="28"/>
      <c r="S557" s="28"/>
      <c r="T557" s="28"/>
      <c r="U557" s="7"/>
      <c r="V557" s="28"/>
      <c r="W557" s="28"/>
      <c r="X557" s="2"/>
      <c r="Y557" s="2"/>
      <c r="Z557" s="2"/>
    </row>
    <row r="558" spans="1:26" ht="19.5" customHeight="1">
      <c r="A558" s="28"/>
      <c r="B558" s="28"/>
      <c r="C558" s="28"/>
      <c r="D558" s="29"/>
      <c r="E558" s="29"/>
      <c r="F558" s="28"/>
      <c r="G558" s="28"/>
      <c r="H558" s="28"/>
      <c r="I558" s="28"/>
      <c r="J558" s="28"/>
      <c r="K558" s="28"/>
      <c r="L558" s="28"/>
      <c r="M558" s="28"/>
      <c r="N558" s="28"/>
      <c r="O558" s="28"/>
      <c r="P558" s="28"/>
      <c r="Q558" s="28"/>
      <c r="R558" s="28"/>
      <c r="S558" s="28"/>
      <c r="T558" s="28"/>
      <c r="U558" s="7"/>
      <c r="V558" s="28"/>
      <c r="W558" s="28"/>
      <c r="X558" s="2"/>
      <c r="Y558" s="2"/>
      <c r="Z558" s="2"/>
    </row>
    <row r="559" spans="1:26" ht="19.5" customHeight="1">
      <c r="A559" s="28"/>
      <c r="B559" s="28"/>
      <c r="C559" s="28"/>
      <c r="D559" s="29"/>
      <c r="E559" s="29"/>
      <c r="F559" s="28"/>
      <c r="G559" s="28"/>
      <c r="H559" s="28"/>
      <c r="I559" s="28"/>
      <c r="J559" s="28"/>
      <c r="K559" s="28"/>
      <c r="L559" s="28"/>
      <c r="M559" s="28"/>
      <c r="N559" s="28"/>
      <c r="O559" s="28"/>
      <c r="P559" s="28"/>
      <c r="Q559" s="28"/>
      <c r="R559" s="28"/>
      <c r="S559" s="28"/>
      <c r="T559" s="28"/>
      <c r="U559" s="7"/>
      <c r="V559" s="28"/>
      <c r="W559" s="28"/>
      <c r="X559" s="2"/>
      <c r="Y559" s="2"/>
      <c r="Z559" s="2"/>
    </row>
    <row r="560" spans="1:26" ht="19.5" customHeight="1">
      <c r="A560" s="28"/>
      <c r="B560" s="28"/>
      <c r="C560" s="28"/>
      <c r="D560" s="29"/>
      <c r="E560" s="29"/>
      <c r="F560" s="28"/>
      <c r="G560" s="28"/>
      <c r="H560" s="28"/>
      <c r="I560" s="28"/>
      <c r="J560" s="28"/>
      <c r="K560" s="28"/>
      <c r="L560" s="28"/>
      <c r="M560" s="28"/>
      <c r="N560" s="28"/>
      <c r="O560" s="28"/>
      <c r="P560" s="28"/>
      <c r="Q560" s="28"/>
      <c r="R560" s="28"/>
      <c r="S560" s="28"/>
      <c r="T560" s="28"/>
      <c r="U560" s="7"/>
      <c r="V560" s="28"/>
      <c r="W560" s="28"/>
      <c r="X560" s="2"/>
      <c r="Y560" s="2"/>
      <c r="Z560" s="2"/>
    </row>
    <row r="561" spans="1:26" ht="19.5" customHeight="1">
      <c r="A561" s="28"/>
      <c r="B561" s="28"/>
      <c r="C561" s="28"/>
      <c r="D561" s="29"/>
      <c r="E561" s="29"/>
      <c r="F561" s="28"/>
      <c r="G561" s="28"/>
      <c r="H561" s="28"/>
      <c r="I561" s="28"/>
      <c r="J561" s="28"/>
      <c r="K561" s="28"/>
      <c r="L561" s="28"/>
      <c r="M561" s="28"/>
      <c r="N561" s="28"/>
      <c r="O561" s="28"/>
      <c r="P561" s="28"/>
      <c r="Q561" s="28"/>
      <c r="R561" s="28"/>
      <c r="S561" s="28"/>
      <c r="T561" s="28"/>
      <c r="U561" s="7"/>
      <c r="V561" s="28"/>
      <c r="W561" s="28"/>
      <c r="X561" s="2"/>
      <c r="Y561" s="2"/>
      <c r="Z561" s="2"/>
    </row>
    <row r="562" spans="1:26" ht="19.5" customHeight="1">
      <c r="A562" s="28"/>
      <c r="B562" s="28"/>
      <c r="C562" s="28"/>
      <c r="D562" s="29"/>
      <c r="E562" s="29"/>
      <c r="F562" s="28"/>
      <c r="G562" s="28"/>
      <c r="H562" s="28"/>
      <c r="I562" s="28"/>
      <c r="J562" s="28"/>
      <c r="K562" s="28"/>
      <c r="L562" s="28"/>
      <c r="M562" s="28"/>
      <c r="N562" s="28"/>
      <c r="O562" s="28"/>
      <c r="P562" s="28"/>
      <c r="Q562" s="28"/>
      <c r="R562" s="28"/>
      <c r="S562" s="28"/>
      <c r="T562" s="28"/>
      <c r="U562" s="7"/>
      <c r="V562" s="28"/>
      <c r="W562" s="28"/>
      <c r="X562" s="2"/>
      <c r="Y562" s="2"/>
      <c r="Z562" s="2"/>
    </row>
    <row r="563" spans="1:26" ht="19.5" customHeight="1">
      <c r="A563" s="28"/>
      <c r="B563" s="28"/>
      <c r="C563" s="28"/>
      <c r="D563" s="29"/>
      <c r="E563" s="29"/>
      <c r="F563" s="28"/>
      <c r="G563" s="28"/>
      <c r="H563" s="28"/>
      <c r="I563" s="28"/>
      <c r="J563" s="28"/>
      <c r="K563" s="28"/>
      <c r="L563" s="28"/>
      <c r="M563" s="28"/>
      <c r="N563" s="28"/>
      <c r="O563" s="28"/>
      <c r="P563" s="28"/>
      <c r="Q563" s="28"/>
      <c r="R563" s="28"/>
      <c r="S563" s="28"/>
      <c r="T563" s="28"/>
      <c r="U563" s="7"/>
      <c r="V563" s="28"/>
      <c r="W563" s="28"/>
      <c r="X563" s="2"/>
      <c r="Y563" s="2"/>
      <c r="Z563" s="2"/>
    </row>
    <row r="564" spans="1:26" ht="19.5" customHeight="1">
      <c r="A564" s="28"/>
      <c r="B564" s="28"/>
      <c r="C564" s="28"/>
      <c r="D564" s="29"/>
      <c r="E564" s="29"/>
      <c r="F564" s="28"/>
      <c r="G564" s="28"/>
      <c r="H564" s="28"/>
      <c r="I564" s="28"/>
      <c r="J564" s="28"/>
      <c r="K564" s="28"/>
      <c r="L564" s="28"/>
      <c r="M564" s="28"/>
      <c r="N564" s="28"/>
      <c r="O564" s="28"/>
      <c r="P564" s="28"/>
      <c r="Q564" s="28"/>
      <c r="R564" s="28"/>
      <c r="S564" s="28"/>
      <c r="T564" s="28"/>
      <c r="U564" s="7"/>
      <c r="V564" s="28"/>
      <c r="W564" s="28"/>
      <c r="X564" s="2"/>
      <c r="Y564" s="2"/>
      <c r="Z564" s="2"/>
    </row>
    <row r="565" spans="1:26" ht="19.5" customHeight="1">
      <c r="A565" s="28"/>
      <c r="B565" s="28"/>
      <c r="C565" s="28"/>
      <c r="D565" s="29"/>
      <c r="E565" s="29"/>
      <c r="F565" s="28"/>
      <c r="G565" s="28"/>
      <c r="H565" s="28"/>
      <c r="I565" s="28"/>
      <c r="J565" s="28"/>
      <c r="K565" s="28"/>
      <c r="L565" s="28"/>
      <c r="M565" s="28"/>
      <c r="N565" s="28"/>
      <c r="O565" s="28"/>
      <c r="P565" s="28"/>
      <c r="Q565" s="28"/>
      <c r="R565" s="28"/>
      <c r="S565" s="28"/>
      <c r="T565" s="28"/>
      <c r="U565" s="7"/>
      <c r="V565" s="28"/>
      <c r="W565" s="28"/>
      <c r="X565" s="2"/>
      <c r="Y565" s="2"/>
      <c r="Z565" s="2"/>
    </row>
    <row r="566" spans="1:26" ht="19.5" customHeight="1">
      <c r="A566" s="28"/>
      <c r="B566" s="28"/>
      <c r="C566" s="28"/>
      <c r="D566" s="29"/>
      <c r="E566" s="29"/>
      <c r="F566" s="28"/>
      <c r="G566" s="28"/>
      <c r="H566" s="28"/>
      <c r="I566" s="28"/>
      <c r="J566" s="28"/>
      <c r="K566" s="28"/>
      <c r="L566" s="28"/>
      <c r="M566" s="28"/>
      <c r="N566" s="28"/>
      <c r="O566" s="28"/>
      <c r="P566" s="28"/>
      <c r="Q566" s="28"/>
      <c r="R566" s="28"/>
      <c r="S566" s="28"/>
      <c r="T566" s="28"/>
      <c r="U566" s="7"/>
      <c r="V566" s="28"/>
      <c r="W566" s="28"/>
      <c r="X566" s="2"/>
      <c r="Y566" s="2"/>
      <c r="Z566" s="2"/>
    </row>
    <row r="567" spans="1:26" ht="19.5" customHeight="1">
      <c r="A567" s="28"/>
      <c r="B567" s="28"/>
      <c r="C567" s="28"/>
      <c r="D567" s="29"/>
      <c r="E567" s="29"/>
      <c r="F567" s="28"/>
      <c r="G567" s="28"/>
      <c r="H567" s="28"/>
      <c r="I567" s="28"/>
      <c r="J567" s="28"/>
      <c r="K567" s="28"/>
      <c r="L567" s="28"/>
      <c r="M567" s="28"/>
      <c r="N567" s="28"/>
      <c r="O567" s="28"/>
      <c r="P567" s="28"/>
      <c r="Q567" s="28"/>
      <c r="R567" s="28"/>
      <c r="S567" s="28"/>
      <c r="T567" s="28"/>
      <c r="U567" s="7"/>
      <c r="V567" s="28"/>
      <c r="W567" s="28"/>
      <c r="X567" s="2"/>
      <c r="Y567" s="2"/>
      <c r="Z567" s="2"/>
    </row>
    <row r="568" spans="1:26" ht="19.5" customHeight="1">
      <c r="A568" s="28"/>
      <c r="B568" s="28"/>
      <c r="C568" s="28"/>
      <c r="D568" s="29"/>
      <c r="E568" s="29"/>
      <c r="F568" s="28"/>
      <c r="G568" s="28"/>
      <c r="H568" s="28"/>
      <c r="I568" s="28"/>
      <c r="J568" s="28"/>
      <c r="K568" s="28"/>
      <c r="L568" s="28"/>
      <c r="M568" s="28"/>
      <c r="N568" s="28"/>
      <c r="O568" s="28"/>
      <c r="P568" s="28"/>
      <c r="Q568" s="28"/>
      <c r="R568" s="28"/>
      <c r="S568" s="28"/>
      <c r="T568" s="28"/>
      <c r="U568" s="7"/>
      <c r="V568" s="28"/>
      <c r="W568" s="28"/>
      <c r="X568" s="2"/>
      <c r="Y568" s="2"/>
      <c r="Z568" s="2"/>
    </row>
    <row r="569" spans="1:26" ht="19.5" customHeight="1">
      <c r="A569" s="28"/>
      <c r="B569" s="28"/>
      <c r="C569" s="28"/>
      <c r="D569" s="29"/>
      <c r="E569" s="29"/>
      <c r="F569" s="28"/>
      <c r="G569" s="28"/>
      <c r="H569" s="28"/>
      <c r="I569" s="28"/>
      <c r="J569" s="28"/>
      <c r="K569" s="28"/>
      <c r="L569" s="28"/>
      <c r="M569" s="28"/>
      <c r="N569" s="28"/>
      <c r="O569" s="28"/>
      <c r="P569" s="28"/>
      <c r="Q569" s="28"/>
      <c r="R569" s="28"/>
      <c r="S569" s="28"/>
      <c r="T569" s="28"/>
      <c r="U569" s="7"/>
      <c r="V569" s="28"/>
      <c r="W569" s="28"/>
      <c r="X569" s="2"/>
      <c r="Y569" s="2"/>
      <c r="Z569" s="2"/>
    </row>
    <row r="570" spans="1:26" ht="19.5" customHeight="1">
      <c r="A570" s="28"/>
      <c r="B570" s="28"/>
      <c r="C570" s="28"/>
      <c r="D570" s="29"/>
      <c r="E570" s="29"/>
      <c r="F570" s="28"/>
      <c r="G570" s="28"/>
      <c r="H570" s="28"/>
      <c r="I570" s="28"/>
      <c r="J570" s="28"/>
      <c r="K570" s="28"/>
      <c r="L570" s="28"/>
      <c r="M570" s="28"/>
      <c r="N570" s="28"/>
      <c r="O570" s="28"/>
      <c r="P570" s="28"/>
      <c r="Q570" s="28"/>
      <c r="R570" s="28"/>
      <c r="S570" s="28"/>
      <c r="T570" s="28"/>
      <c r="U570" s="7"/>
      <c r="V570" s="28"/>
      <c r="W570" s="28"/>
      <c r="X570" s="2"/>
      <c r="Y570" s="2"/>
      <c r="Z570" s="2"/>
    </row>
    <row r="571" spans="1:26" ht="19.5" customHeight="1">
      <c r="A571" s="28"/>
      <c r="B571" s="28"/>
      <c r="C571" s="28"/>
      <c r="D571" s="29"/>
      <c r="E571" s="29"/>
      <c r="F571" s="28"/>
      <c r="G571" s="28"/>
      <c r="H571" s="28"/>
      <c r="I571" s="28"/>
      <c r="J571" s="28"/>
      <c r="K571" s="28"/>
      <c r="L571" s="28"/>
      <c r="M571" s="28"/>
      <c r="N571" s="28"/>
      <c r="O571" s="28"/>
      <c r="P571" s="28"/>
      <c r="Q571" s="28"/>
      <c r="R571" s="28"/>
      <c r="S571" s="28"/>
      <c r="T571" s="28"/>
      <c r="U571" s="7"/>
      <c r="V571" s="28"/>
      <c r="W571" s="28"/>
      <c r="X571" s="2"/>
      <c r="Y571" s="2"/>
      <c r="Z571" s="2"/>
    </row>
    <row r="572" spans="1:26" ht="19.5" customHeight="1">
      <c r="A572" s="28"/>
      <c r="B572" s="28"/>
      <c r="C572" s="28"/>
      <c r="D572" s="29"/>
      <c r="E572" s="29"/>
      <c r="F572" s="28"/>
      <c r="G572" s="28"/>
      <c r="H572" s="28"/>
      <c r="I572" s="28"/>
      <c r="J572" s="28"/>
      <c r="K572" s="28"/>
      <c r="L572" s="28"/>
      <c r="M572" s="28"/>
      <c r="N572" s="28"/>
      <c r="O572" s="28"/>
      <c r="P572" s="28"/>
      <c r="Q572" s="28"/>
      <c r="R572" s="28"/>
      <c r="S572" s="28"/>
      <c r="T572" s="28"/>
      <c r="U572" s="7"/>
      <c r="V572" s="28"/>
      <c r="W572" s="28"/>
      <c r="X572" s="2"/>
      <c r="Y572" s="2"/>
      <c r="Z572" s="2"/>
    </row>
    <row r="573" spans="1:26" ht="19.5" customHeight="1">
      <c r="A573" s="28"/>
      <c r="B573" s="28"/>
      <c r="C573" s="28"/>
      <c r="D573" s="29"/>
      <c r="E573" s="29"/>
      <c r="F573" s="28"/>
      <c r="G573" s="28"/>
      <c r="H573" s="28"/>
      <c r="I573" s="28"/>
      <c r="J573" s="28"/>
      <c r="K573" s="28"/>
      <c r="L573" s="28"/>
      <c r="M573" s="28"/>
      <c r="N573" s="28"/>
      <c r="O573" s="28"/>
      <c r="P573" s="28"/>
      <c r="Q573" s="28"/>
      <c r="R573" s="28"/>
      <c r="S573" s="28"/>
      <c r="T573" s="28"/>
      <c r="U573" s="7"/>
      <c r="V573" s="28"/>
      <c r="W573" s="28"/>
      <c r="X573" s="2"/>
      <c r="Y573" s="2"/>
      <c r="Z573" s="2"/>
    </row>
    <row r="574" spans="1:26" ht="19.5" customHeight="1">
      <c r="A574" s="28"/>
      <c r="B574" s="28"/>
      <c r="C574" s="28"/>
      <c r="D574" s="29"/>
      <c r="E574" s="29"/>
      <c r="F574" s="28"/>
      <c r="G574" s="28"/>
      <c r="H574" s="28"/>
      <c r="I574" s="28"/>
      <c r="J574" s="28"/>
      <c r="K574" s="28"/>
      <c r="L574" s="28"/>
      <c r="M574" s="28"/>
      <c r="N574" s="28"/>
      <c r="O574" s="28"/>
      <c r="P574" s="28"/>
      <c r="Q574" s="28"/>
      <c r="R574" s="28"/>
      <c r="S574" s="28"/>
      <c r="T574" s="28"/>
      <c r="U574" s="7"/>
      <c r="V574" s="28"/>
      <c r="W574" s="28"/>
      <c r="X574" s="2"/>
      <c r="Y574" s="2"/>
      <c r="Z574" s="2"/>
    </row>
    <row r="575" spans="1:26" ht="19.5" customHeight="1">
      <c r="A575" s="28"/>
      <c r="B575" s="28"/>
      <c r="C575" s="28"/>
      <c r="D575" s="29"/>
      <c r="E575" s="29"/>
      <c r="F575" s="28"/>
      <c r="G575" s="28"/>
      <c r="H575" s="28"/>
      <c r="I575" s="28"/>
      <c r="J575" s="28"/>
      <c r="K575" s="28"/>
      <c r="L575" s="28"/>
      <c r="M575" s="28"/>
      <c r="N575" s="28"/>
      <c r="O575" s="28"/>
      <c r="P575" s="28"/>
      <c r="Q575" s="28"/>
      <c r="R575" s="28"/>
      <c r="S575" s="28"/>
      <c r="T575" s="28"/>
      <c r="U575" s="7"/>
      <c r="V575" s="28"/>
      <c r="W575" s="28"/>
      <c r="X575" s="2"/>
      <c r="Y575" s="2"/>
      <c r="Z575" s="2"/>
    </row>
    <row r="576" spans="1:26" ht="19.5" customHeight="1">
      <c r="A576" s="28"/>
      <c r="B576" s="28"/>
      <c r="C576" s="28"/>
      <c r="D576" s="29"/>
      <c r="E576" s="29"/>
      <c r="F576" s="28"/>
      <c r="G576" s="28"/>
      <c r="H576" s="28"/>
      <c r="I576" s="28"/>
      <c r="J576" s="28"/>
      <c r="K576" s="28"/>
      <c r="L576" s="28"/>
      <c r="M576" s="28"/>
      <c r="N576" s="28"/>
      <c r="O576" s="28"/>
      <c r="P576" s="28"/>
      <c r="Q576" s="28"/>
      <c r="R576" s="28"/>
      <c r="S576" s="28"/>
      <c r="T576" s="28"/>
      <c r="U576" s="7"/>
      <c r="V576" s="28"/>
      <c r="W576" s="28"/>
      <c r="X576" s="2"/>
      <c r="Y576" s="2"/>
      <c r="Z576" s="2"/>
    </row>
    <row r="577" spans="1:26" ht="19.5" customHeight="1">
      <c r="A577" s="28"/>
      <c r="B577" s="28"/>
      <c r="C577" s="28"/>
      <c r="D577" s="29"/>
      <c r="E577" s="29"/>
      <c r="F577" s="28"/>
      <c r="G577" s="28"/>
      <c r="H577" s="28"/>
      <c r="I577" s="28"/>
      <c r="J577" s="28"/>
      <c r="K577" s="28"/>
      <c r="L577" s="28"/>
      <c r="M577" s="28"/>
      <c r="N577" s="28"/>
      <c r="O577" s="28"/>
      <c r="P577" s="28"/>
      <c r="Q577" s="28"/>
      <c r="R577" s="28"/>
      <c r="S577" s="28"/>
      <c r="T577" s="28"/>
      <c r="U577" s="7"/>
      <c r="V577" s="28"/>
      <c r="W577" s="28"/>
      <c r="X577" s="2"/>
      <c r="Y577" s="2"/>
      <c r="Z577" s="2"/>
    </row>
    <row r="578" spans="1:26" ht="19.5" customHeight="1">
      <c r="A578" s="28"/>
      <c r="B578" s="28"/>
      <c r="C578" s="28"/>
      <c r="D578" s="29"/>
      <c r="E578" s="29"/>
      <c r="F578" s="28"/>
      <c r="G578" s="28"/>
      <c r="H578" s="28"/>
      <c r="I578" s="28"/>
      <c r="J578" s="28"/>
      <c r="K578" s="28"/>
      <c r="L578" s="28"/>
      <c r="M578" s="28"/>
      <c r="N578" s="28"/>
      <c r="O578" s="28"/>
      <c r="P578" s="28"/>
      <c r="Q578" s="28"/>
      <c r="R578" s="28"/>
      <c r="S578" s="28"/>
      <c r="T578" s="28"/>
      <c r="U578" s="7"/>
      <c r="V578" s="28"/>
      <c r="W578" s="28"/>
      <c r="X578" s="2"/>
      <c r="Y578" s="2"/>
      <c r="Z578" s="2"/>
    </row>
    <row r="579" spans="1:26" ht="19.5" customHeight="1">
      <c r="A579" s="28"/>
      <c r="B579" s="28"/>
      <c r="C579" s="28"/>
      <c r="D579" s="29"/>
      <c r="E579" s="29"/>
      <c r="F579" s="28"/>
      <c r="G579" s="28"/>
      <c r="H579" s="28"/>
      <c r="I579" s="28"/>
      <c r="J579" s="28"/>
      <c r="K579" s="28"/>
      <c r="L579" s="28"/>
      <c r="M579" s="28"/>
      <c r="N579" s="28"/>
      <c r="O579" s="28"/>
      <c r="P579" s="28"/>
      <c r="Q579" s="28"/>
      <c r="R579" s="28"/>
      <c r="S579" s="28"/>
      <c r="T579" s="28"/>
      <c r="U579" s="7"/>
      <c r="V579" s="28"/>
      <c r="W579" s="28"/>
      <c r="X579" s="2"/>
      <c r="Y579" s="2"/>
      <c r="Z579" s="2"/>
    </row>
    <row r="580" spans="1:26" ht="19.5" customHeight="1">
      <c r="A580" s="28"/>
      <c r="B580" s="28"/>
      <c r="C580" s="28"/>
      <c r="D580" s="29"/>
      <c r="E580" s="29"/>
      <c r="F580" s="28"/>
      <c r="G580" s="28"/>
      <c r="H580" s="28"/>
      <c r="I580" s="28"/>
      <c r="J580" s="28"/>
      <c r="K580" s="28"/>
      <c r="L580" s="28"/>
      <c r="M580" s="28"/>
      <c r="N580" s="28"/>
      <c r="O580" s="28"/>
      <c r="P580" s="28"/>
      <c r="Q580" s="28"/>
      <c r="R580" s="28"/>
      <c r="S580" s="28"/>
      <c r="T580" s="28"/>
      <c r="U580" s="7"/>
      <c r="V580" s="28"/>
      <c r="W580" s="28"/>
      <c r="X580" s="2"/>
      <c r="Y580" s="2"/>
      <c r="Z580" s="2"/>
    </row>
    <row r="581" spans="1:26" ht="19.5" customHeight="1">
      <c r="A581" s="28"/>
      <c r="B581" s="28"/>
      <c r="C581" s="28"/>
      <c r="D581" s="29"/>
      <c r="E581" s="29"/>
      <c r="F581" s="28"/>
      <c r="G581" s="28"/>
      <c r="H581" s="28"/>
      <c r="I581" s="28"/>
      <c r="J581" s="28"/>
      <c r="K581" s="28"/>
      <c r="L581" s="28"/>
      <c r="M581" s="28"/>
      <c r="N581" s="28"/>
      <c r="O581" s="28"/>
      <c r="P581" s="28"/>
      <c r="Q581" s="28"/>
      <c r="R581" s="28"/>
      <c r="S581" s="28"/>
      <c r="T581" s="28"/>
      <c r="U581" s="7"/>
      <c r="V581" s="28"/>
      <c r="W581" s="28"/>
      <c r="X581" s="2"/>
      <c r="Y581" s="2"/>
      <c r="Z581" s="2"/>
    </row>
    <row r="582" spans="1:26" ht="19.5" customHeight="1">
      <c r="A582" s="28"/>
      <c r="B582" s="28"/>
      <c r="C582" s="28"/>
      <c r="D582" s="29"/>
      <c r="E582" s="29"/>
      <c r="F582" s="28"/>
      <c r="G582" s="28"/>
      <c r="H582" s="28"/>
      <c r="I582" s="28"/>
      <c r="J582" s="28"/>
      <c r="K582" s="28"/>
      <c r="L582" s="28"/>
      <c r="M582" s="28"/>
      <c r="N582" s="28"/>
      <c r="O582" s="28"/>
      <c r="P582" s="28"/>
      <c r="Q582" s="28"/>
      <c r="R582" s="28"/>
      <c r="S582" s="28"/>
      <c r="T582" s="28"/>
      <c r="U582" s="7"/>
      <c r="V582" s="28"/>
      <c r="W582" s="28"/>
      <c r="X582" s="2"/>
      <c r="Y582" s="2"/>
      <c r="Z582" s="2"/>
    </row>
    <row r="583" spans="1:26" ht="19.5" customHeight="1">
      <c r="A583" s="28"/>
      <c r="B583" s="28"/>
      <c r="C583" s="28"/>
      <c r="D583" s="29"/>
      <c r="E583" s="29"/>
      <c r="F583" s="28"/>
      <c r="G583" s="28"/>
      <c r="H583" s="28"/>
      <c r="I583" s="28"/>
      <c r="J583" s="28"/>
      <c r="K583" s="28"/>
      <c r="L583" s="28"/>
      <c r="M583" s="28"/>
      <c r="N583" s="28"/>
      <c r="O583" s="28"/>
      <c r="P583" s="28"/>
      <c r="Q583" s="28"/>
      <c r="R583" s="28"/>
      <c r="S583" s="28"/>
      <c r="T583" s="28"/>
      <c r="U583" s="7"/>
      <c r="V583" s="28"/>
      <c r="W583" s="28"/>
      <c r="X583" s="2"/>
      <c r="Y583" s="2"/>
      <c r="Z583" s="2"/>
    </row>
    <row r="584" spans="1:26" ht="19.5" customHeight="1">
      <c r="A584" s="28"/>
      <c r="B584" s="28"/>
      <c r="C584" s="28"/>
      <c r="D584" s="29"/>
      <c r="E584" s="29"/>
      <c r="F584" s="28"/>
      <c r="G584" s="28"/>
      <c r="H584" s="28"/>
      <c r="I584" s="28"/>
      <c r="J584" s="28"/>
      <c r="K584" s="28"/>
      <c r="L584" s="28"/>
      <c r="M584" s="28"/>
      <c r="N584" s="28"/>
      <c r="O584" s="28"/>
      <c r="P584" s="28"/>
      <c r="Q584" s="28"/>
      <c r="R584" s="28"/>
      <c r="S584" s="28"/>
      <c r="T584" s="28"/>
      <c r="U584" s="7"/>
      <c r="V584" s="28"/>
      <c r="W584" s="28"/>
      <c r="X584" s="2"/>
      <c r="Y584" s="2"/>
      <c r="Z584" s="2"/>
    </row>
    <row r="585" spans="1:26" ht="19.5" customHeight="1">
      <c r="A585" s="28"/>
      <c r="B585" s="28"/>
      <c r="C585" s="28"/>
      <c r="D585" s="29"/>
      <c r="E585" s="29"/>
      <c r="F585" s="28"/>
      <c r="G585" s="28"/>
      <c r="H585" s="28"/>
      <c r="I585" s="28"/>
      <c r="J585" s="28"/>
      <c r="K585" s="28"/>
      <c r="L585" s="28"/>
      <c r="M585" s="28"/>
      <c r="N585" s="28"/>
      <c r="O585" s="28"/>
      <c r="P585" s="28"/>
      <c r="Q585" s="28"/>
      <c r="R585" s="28"/>
      <c r="S585" s="28"/>
      <c r="T585" s="28"/>
      <c r="U585" s="7"/>
      <c r="V585" s="28"/>
      <c r="W585" s="28"/>
      <c r="X585" s="2"/>
      <c r="Y585" s="2"/>
      <c r="Z585" s="2"/>
    </row>
    <row r="586" spans="1:26" ht="19.5" customHeight="1">
      <c r="A586" s="28"/>
      <c r="B586" s="28"/>
      <c r="C586" s="28"/>
      <c r="D586" s="29"/>
      <c r="E586" s="29"/>
      <c r="F586" s="28"/>
      <c r="G586" s="28"/>
      <c r="H586" s="28"/>
      <c r="I586" s="28"/>
      <c r="J586" s="28"/>
      <c r="K586" s="28"/>
      <c r="L586" s="28"/>
      <c r="M586" s="28"/>
      <c r="N586" s="28"/>
      <c r="O586" s="28"/>
      <c r="P586" s="28"/>
      <c r="Q586" s="28"/>
      <c r="R586" s="28"/>
      <c r="S586" s="28"/>
      <c r="T586" s="28"/>
      <c r="U586" s="7"/>
      <c r="V586" s="28"/>
      <c r="W586" s="28"/>
      <c r="X586" s="2"/>
      <c r="Y586" s="2"/>
      <c r="Z586" s="2"/>
    </row>
    <row r="587" spans="1:26" ht="19.5" customHeight="1">
      <c r="A587" s="28"/>
      <c r="B587" s="28"/>
      <c r="C587" s="28"/>
      <c r="D587" s="29"/>
      <c r="E587" s="29"/>
      <c r="F587" s="28"/>
      <c r="G587" s="28"/>
      <c r="H587" s="28"/>
      <c r="I587" s="28"/>
      <c r="J587" s="28"/>
      <c r="K587" s="28"/>
      <c r="L587" s="28"/>
      <c r="M587" s="28"/>
      <c r="N587" s="28"/>
      <c r="O587" s="28"/>
      <c r="P587" s="28"/>
      <c r="Q587" s="28"/>
      <c r="R587" s="28"/>
      <c r="S587" s="28"/>
      <c r="T587" s="28"/>
      <c r="U587" s="7"/>
      <c r="V587" s="28"/>
      <c r="W587" s="28"/>
      <c r="X587" s="2"/>
      <c r="Y587" s="2"/>
      <c r="Z587" s="2"/>
    </row>
    <row r="588" spans="1:26" ht="19.5" customHeight="1">
      <c r="A588" s="28"/>
      <c r="B588" s="28"/>
      <c r="C588" s="28"/>
      <c r="D588" s="29"/>
      <c r="E588" s="29"/>
      <c r="F588" s="28"/>
      <c r="G588" s="28"/>
      <c r="H588" s="28"/>
      <c r="I588" s="28"/>
      <c r="J588" s="28"/>
      <c r="K588" s="28"/>
      <c r="L588" s="28"/>
      <c r="M588" s="28"/>
      <c r="N588" s="28"/>
      <c r="O588" s="28"/>
      <c r="P588" s="28"/>
      <c r="Q588" s="28"/>
      <c r="R588" s="28"/>
      <c r="S588" s="28"/>
      <c r="T588" s="28"/>
      <c r="U588" s="7"/>
      <c r="V588" s="28"/>
      <c r="W588" s="28"/>
      <c r="X588" s="2"/>
      <c r="Y588" s="2"/>
      <c r="Z588" s="2"/>
    </row>
    <row r="589" spans="1:26" ht="19.5" customHeight="1">
      <c r="A589" s="28"/>
      <c r="B589" s="28"/>
      <c r="C589" s="28"/>
      <c r="D589" s="29"/>
      <c r="E589" s="29"/>
      <c r="F589" s="28"/>
      <c r="G589" s="28"/>
      <c r="H589" s="28"/>
      <c r="I589" s="28"/>
      <c r="J589" s="28"/>
      <c r="K589" s="28"/>
      <c r="L589" s="28"/>
      <c r="M589" s="28"/>
      <c r="N589" s="28"/>
      <c r="O589" s="28"/>
      <c r="P589" s="28"/>
      <c r="Q589" s="28"/>
      <c r="R589" s="28"/>
      <c r="S589" s="28"/>
      <c r="T589" s="28"/>
      <c r="U589" s="7"/>
      <c r="V589" s="28"/>
      <c r="W589" s="28"/>
      <c r="X589" s="2"/>
      <c r="Y589" s="2"/>
      <c r="Z589" s="2"/>
    </row>
    <row r="590" spans="1:26" ht="19.5" customHeight="1">
      <c r="A590" s="28"/>
      <c r="B590" s="28"/>
      <c r="C590" s="28"/>
      <c r="D590" s="29"/>
      <c r="E590" s="29"/>
      <c r="F590" s="28"/>
      <c r="G590" s="28"/>
      <c r="H590" s="28"/>
      <c r="I590" s="28"/>
      <c r="J590" s="28"/>
      <c r="K590" s="28"/>
      <c r="L590" s="28"/>
      <c r="M590" s="28"/>
      <c r="N590" s="28"/>
      <c r="O590" s="28"/>
      <c r="P590" s="28"/>
      <c r="Q590" s="28"/>
      <c r="R590" s="28"/>
      <c r="S590" s="28"/>
      <c r="T590" s="28"/>
      <c r="U590" s="7"/>
      <c r="V590" s="28"/>
      <c r="W590" s="28"/>
      <c r="X590" s="2"/>
      <c r="Y590" s="2"/>
      <c r="Z590" s="2"/>
    </row>
    <row r="591" spans="1:26" ht="19.5" customHeight="1">
      <c r="A591" s="28"/>
      <c r="B591" s="28"/>
      <c r="C591" s="28"/>
      <c r="D591" s="29"/>
      <c r="E591" s="29"/>
      <c r="F591" s="28"/>
      <c r="G591" s="28"/>
      <c r="H591" s="28"/>
      <c r="I591" s="28"/>
      <c r="J591" s="28"/>
      <c r="K591" s="28"/>
      <c r="L591" s="28"/>
      <c r="M591" s="28"/>
      <c r="N591" s="28"/>
      <c r="O591" s="28"/>
      <c r="P591" s="28"/>
      <c r="Q591" s="28"/>
      <c r="R591" s="28"/>
      <c r="S591" s="28"/>
      <c r="T591" s="28"/>
      <c r="U591" s="7"/>
      <c r="V591" s="28"/>
      <c r="W591" s="28"/>
      <c r="X591" s="2"/>
      <c r="Y591" s="2"/>
      <c r="Z591" s="2"/>
    </row>
    <row r="592" spans="1:26" ht="19.5" customHeight="1">
      <c r="A592" s="28"/>
      <c r="B592" s="28"/>
      <c r="C592" s="28"/>
      <c r="D592" s="29"/>
      <c r="E592" s="29"/>
      <c r="F592" s="28"/>
      <c r="G592" s="28"/>
      <c r="H592" s="28"/>
      <c r="I592" s="28"/>
      <c r="J592" s="28"/>
      <c r="K592" s="28"/>
      <c r="L592" s="28"/>
      <c r="M592" s="28"/>
      <c r="N592" s="28"/>
      <c r="O592" s="28"/>
      <c r="P592" s="28"/>
      <c r="Q592" s="28"/>
      <c r="R592" s="28"/>
      <c r="S592" s="28"/>
      <c r="T592" s="28"/>
      <c r="U592" s="7"/>
      <c r="V592" s="28"/>
      <c r="W592" s="28"/>
      <c r="X592" s="2"/>
      <c r="Y592" s="2"/>
      <c r="Z592" s="2"/>
    </row>
    <row r="593" spans="1:26" ht="19.5" customHeight="1">
      <c r="A593" s="28"/>
      <c r="B593" s="28"/>
      <c r="C593" s="28"/>
      <c r="D593" s="29"/>
      <c r="E593" s="29"/>
      <c r="F593" s="28"/>
      <c r="G593" s="28"/>
      <c r="H593" s="28"/>
      <c r="I593" s="28"/>
      <c r="J593" s="28"/>
      <c r="K593" s="28"/>
      <c r="L593" s="28"/>
      <c r="M593" s="28"/>
      <c r="N593" s="28"/>
      <c r="O593" s="28"/>
      <c r="P593" s="28"/>
      <c r="Q593" s="28"/>
      <c r="R593" s="28"/>
      <c r="S593" s="28"/>
      <c r="T593" s="28"/>
      <c r="U593" s="7"/>
      <c r="V593" s="28"/>
      <c r="W593" s="28"/>
      <c r="X593" s="2"/>
      <c r="Y593" s="2"/>
      <c r="Z593" s="2"/>
    </row>
    <row r="594" spans="1:26" ht="19.5" customHeight="1">
      <c r="A594" s="28"/>
      <c r="B594" s="28"/>
      <c r="C594" s="28"/>
      <c r="D594" s="29"/>
      <c r="E594" s="29"/>
      <c r="F594" s="28"/>
      <c r="G594" s="28"/>
      <c r="H594" s="28"/>
      <c r="I594" s="28"/>
      <c r="J594" s="28"/>
      <c r="K594" s="28"/>
      <c r="L594" s="28"/>
      <c r="M594" s="28"/>
      <c r="N594" s="28"/>
      <c r="O594" s="28"/>
      <c r="P594" s="28"/>
      <c r="Q594" s="28"/>
      <c r="R594" s="28"/>
      <c r="S594" s="28"/>
      <c r="T594" s="28"/>
      <c r="U594" s="7"/>
      <c r="V594" s="28"/>
      <c r="W594" s="28"/>
      <c r="X594" s="2"/>
      <c r="Y594" s="2"/>
      <c r="Z594" s="2"/>
    </row>
    <row r="595" spans="1:26" ht="19.5" customHeight="1">
      <c r="A595" s="28"/>
      <c r="B595" s="28"/>
      <c r="C595" s="28"/>
      <c r="D595" s="29"/>
      <c r="E595" s="29"/>
      <c r="F595" s="28"/>
      <c r="G595" s="28"/>
      <c r="H595" s="28"/>
      <c r="I595" s="28"/>
      <c r="J595" s="28"/>
      <c r="K595" s="28"/>
      <c r="L595" s="28"/>
      <c r="M595" s="28"/>
      <c r="N595" s="28"/>
      <c r="O595" s="28"/>
      <c r="P595" s="28"/>
      <c r="Q595" s="28"/>
      <c r="R595" s="28"/>
      <c r="S595" s="28"/>
      <c r="T595" s="28"/>
      <c r="U595" s="7"/>
      <c r="V595" s="28"/>
      <c r="W595" s="28"/>
      <c r="X595" s="2"/>
      <c r="Y595" s="2"/>
      <c r="Z595" s="2"/>
    </row>
    <row r="596" spans="1:26" ht="19.5" customHeight="1">
      <c r="A596" s="28"/>
      <c r="B596" s="28"/>
      <c r="C596" s="28"/>
      <c r="D596" s="29"/>
      <c r="E596" s="29"/>
      <c r="F596" s="28"/>
      <c r="G596" s="28"/>
      <c r="H596" s="28"/>
      <c r="I596" s="28"/>
      <c r="J596" s="28"/>
      <c r="K596" s="28"/>
      <c r="L596" s="28"/>
      <c r="M596" s="28"/>
      <c r="N596" s="28"/>
      <c r="O596" s="28"/>
      <c r="P596" s="28"/>
      <c r="Q596" s="28"/>
      <c r="R596" s="28"/>
      <c r="S596" s="28"/>
      <c r="T596" s="28"/>
      <c r="U596" s="7"/>
      <c r="V596" s="28"/>
      <c r="W596" s="28"/>
      <c r="X596" s="2"/>
      <c r="Y596" s="2"/>
      <c r="Z596" s="2"/>
    </row>
    <row r="597" spans="1:26" ht="19.5" customHeight="1">
      <c r="A597" s="28"/>
      <c r="B597" s="28"/>
      <c r="C597" s="28"/>
      <c r="D597" s="29"/>
      <c r="E597" s="29"/>
      <c r="F597" s="28"/>
      <c r="G597" s="28"/>
      <c r="H597" s="28"/>
      <c r="I597" s="28"/>
      <c r="J597" s="28"/>
      <c r="K597" s="28"/>
      <c r="L597" s="28"/>
      <c r="M597" s="28"/>
      <c r="N597" s="28"/>
      <c r="O597" s="28"/>
      <c r="P597" s="28"/>
      <c r="Q597" s="28"/>
      <c r="R597" s="28"/>
      <c r="S597" s="28"/>
      <c r="T597" s="28"/>
      <c r="U597" s="7"/>
      <c r="V597" s="28"/>
      <c r="W597" s="28"/>
      <c r="X597" s="2"/>
      <c r="Y597" s="2"/>
      <c r="Z597" s="2"/>
    </row>
    <row r="598" spans="1:26" ht="19.5" customHeight="1">
      <c r="A598" s="28"/>
      <c r="B598" s="28"/>
      <c r="C598" s="28"/>
      <c r="D598" s="29"/>
      <c r="E598" s="29"/>
      <c r="F598" s="28"/>
      <c r="G598" s="28"/>
      <c r="H598" s="28"/>
      <c r="I598" s="28"/>
      <c r="J598" s="28"/>
      <c r="K598" s="28"/>
      <c r="L598" s="28"/>
      <c r="M598" s="28"/>
      <c r="N598" s="28"/>
      <c r="O598" s="28"/>
      <c r="P598" s="28"/>
      <c r="Q598" s="28"/>
      <c r="R598" s="28"/>
      <c r="S598" s="28"/>
      <c r="T598" s="28"/>
      <c r="U598" s="7"/>
      <c r="V598" s="28"/>
      <c r="W598" s="28"/>
      <c r="X598" s="2"/>
      <c r="Y598" s="2"/>
      <c r="Z598" s="2"/>
    </row>
    <row r="599" spans="1:26" ht="19.5" customHeight="1">
      <c r="A599" s="28"/>
      <c r="B599" s="28"/>
      <c r="C599" s="28"/>
      <c r="D599" s="29"/>
      <c r="E599" s="29"/>
      <c r="F599" s="28"/>
      <c r="G599" s="28"/>
      <c r="H599" s="28"/>
      <c r="I599" s="28"/>
      <c r="J599" s="28"/>
      <c r="K599" s="28"/>
      <c r="L599" s="28"/>
      <c r="M599" s="28"/>
      <c r="N599" s="28"/>
      <c r="O599" s="28"/>
      <c r="P599" s="28"/>
      <c r="Q599" s="28"/>
      <c r="R599" s="28"/>
      <c r="S599" s="28"/>
      <c r="T599" s="28"/>
      <c r="U599" s="7"/>
      <c r="V599" s="28"/>
      <c r="W599" s="28"/>
      <c r="X599" s="2"/>
      <c r="Y599" s="2"/>
      <c r="Z599" s="2"/>
    </row>
    <row r="600" spans="1:26" ht="19.5" customHeight="1">
      <c r="A600" s="28"/>
      <c r="B600" s="28"/>
      <c r="C600" s="28"/>
      <c r="D600" s="29"/>
      <c r="E600" s="29"/>
      <c r="F600" s="28"/>
      <c r="G600" s="28"/>
      <c r="H600" s="28"/>
      <c r="I600" s="28"/>
      <c r="J600" s="28"/>
      <c r="K600" s="28"/>
      <c r="L600" s="28"/>
      <c r="M600" s="28"/>
      <c r="N600" s="28"/>
      <c r="O600" s="28"/>
      <c r="P600" s="28"/>
      <c r="Q600" s="28"/>
      <c r="R600" s="28"/>
      <c r="S600" s="28"/>
      <c r="T600" s="28"/>
      <c r="U600" s="7"/>
      <c r="V600" s="28"/>
      <c r="W600" s="28"/>
      <c r="X600" s="2"/>
      <c r="Y600" s="2"/>
      <c r="Z600" s="2"/>
    </row>
    <row r="601" spans="1:26" ht="19.5" customHeight="1">
      <c r="A601" s="28"/>
      <c r="B601" s="28"/>
      <c r="C601" s="28"/>
      <c r="D601" s="29"/>
      <c r="E601" s="29"/>
      <c r="F601" s="28"/>
      <c r="G601" s="28"/>
      <c r="H601" s="28"/>
      <c r="I601" s="28"/>
      <c r="J601" s="28"/>
      <c r="K601" s="28"/>
      <c r="L601" s="28"/>
      <c r="M601" s="28"/>
      <c r="N601" s="28"/>
      <c r="O601" s="28"/>
      <c r="P601" s="28"/>
      <c r="Q601" s="28"/>
      <c r="R601" s="28"/>
      <c r="S601" s="28"/>
      <c r="T601" s="28"/>
      <c r="U601" s="7"/>
      <c r="V601" s="28"/>
      <c r="W601" s="28"/>
      <c r="X601" s="2"/>
      <c r="Y601" s="2"/>
      <c r="Z601" s="2"/>
    </row>
    <row r="602" spans="1:26" ht="19.5" customHeight="1">
      <c r="A602" s="28"/>
      <c r="B602" s="28"/>
      <c r="C602" s="28"/>
      <c r="D602" s="29"/>
      <c r="E602" s="29"/>
      <c r="F602" s="28"/>
      <c r="G602" s="28"/>
      <c r="H602" s="28"/>
      <c r="I602" s="28"/>
      <c r="J602" s="28"/>
      <c r="K602" s="28"/>
      <c r="L602" s="28"/>
      <c r="M602" s="28"/>
      <c r="N602" s="28"/>
      <c r="O602" s="28"/>
      <c r="P602" s="28"/>
      <c r="Q602" s="28"/>
      <c r="R602" s="28"/>
      <c r="S602" s="28"/>
      <c r="T602" s="28"/>
      <c r="U602" s="7"/>
      <c r="V602" s="28"/>
      <c r="W602" s="28"/>
      <c r="X602" s="2"/>
      <c r="Y602" s="2"/>
      <c r="Z602" s="2"/>
    </row>
    <row r="603" spans="1:26" ht="19.5" customHeight="1">
      <c r="A603" s="28"/>
      <c r="B603" s="28"/>
      <c r="C603" s="28"/>
      <c r="D603" s="29"/>
      <c r="E603" s="29"/>
      <c r="F603" s="28"/>
      <c r="G603" s="28"/>
      <c r="H603" s="28"/>
      <c r="I603" s="28"/>
      <c r="J603" s="28"/>
      <c r="K603" s="28"/>
      <c r="L603" s="28"/>
      <c r="M603" s="28"/>
      <c r="N603" s="28"/>
      <c r="O603" s="28"/>
      <c r="P603" s="28"/>
      <c r="Q603" s="28"/>
      <c r="R603" s="28"/>
      <c r="S603" s="28"/>
      <c r="T603" s="28"/>
      <c r="U603" s="7"/>
      <c r="V603" s="28"/>
      <c r="W603" s="28"/>
      <c r="X603" s="2"/>
      <c r="Y603" s="2"/>
      <c r="Z603" s="2"/>
    </row>
    <row r="604" spans="1:26" ht="19.5" customHeight="1">
      <c r="A604" s="28"/>
      <c r="B604" s="28"/>
      <c r="C604" s="28"/>
      <c r="D604" s="29"/>
      <c r="E604" s="29"/>
      <c r="F604" s="28"/>
      <c r="G604" s="28"/>
      <c r="H604" s="28"/>
      <c r="I604" s="28"/>
      <c r="J604" s="28"/>
      <c r="K604" s="28"/>
      <c r="L604" s="28"/>
      <c r="M604" s="28"/>
      <c r="N604" s="28"/>
      <c r="O604" s="28"/>
      <c r="P604" s="28"/>
      <c r="Q604" s="28"/>
      <c r="R604" s="28"/>
      <c r="S604" s="28"/>
      <c r="T604" s="28"/>
      <c r="U604" s="7"/>
      <c r="V604" s="28"/>
      <c r="W604" s="28"/>
      <c r="X604" s="2"/>
      <c r="Y604" s="2"/>
      <c r="Z604" s="2"/>
    </row>
    <row r="605" spans="1:26" ht="19.5" customHeight="1">
      <c r="A605" s="28"/>
      <c r="B605" s="28"/>
      <c r="C605" s="28"/>
      <c r="D605" s="29"/>
      <c r="E605" s="29"/>
      <c r="F605" s="28"/>
      <c r="G605" s="28"/>
      <c r="H605" s="28"/>
      <c r="I605" s="28"/>
      <c r="J605" s="28"/>
      <c r="K605" s="28"/>
      <c r="L605" s="28"/>
      <c r="M605" s="28"/>
      <c r="N605" s="28"/>
      <c r="O605" s="28"/>
      <c r="P605" s="28"/>
      <c r="Q605" s="28"/>
      <c r="R605" s="28"/>
      <c r="S605" s="28"/>
      <c r="T605" s="28"/>
      <c r="U605" s="7"/>
      <c r="V605" s="28"/>
      <c r="W605" s="28"/>
      <c r="X605" s="2"/>
      <c r="Y605" s="2"/>
      <c r="Z605" s="2"/>
    </row>
    <row r="606" spans="1:26" ht="19.5" customHeight="1">
      <c r="A606" s="28"/>
      <c r="B606" s="28"/>
      <c r="C606" s="28"/>
      <c r="D606" s="29"/>
      <c r="E606" s="29"/>
      <c r="F606" s="28"/>
      <c r="G606" s="28"/>
      <c r="H606" s="28"/>
      <c r="I606" s="28"/>
      <c r="J606" s="28"/>
      <c r="K606" s="28"/>
      <c r="L606" s="28"/>
      <c r="M606" s="28"/>
      <c r="N606" s="28"/>
      <c r="O606" s="28"/>
      <c r="P606" s="28"/>
      <c r="Q606" s="28"/>
      <c r="R606" s="28"/>
      <c r="S606" s="28"/>
      <c r="T606" s="28"/>
      <c r="U606" s="7"/>
      <c r="V606" s="28"/>
      <c r="W606" s="28"/>
      <c r="X606" s="2"/>
      <c r="Y606" s="2"/>
      <c r="Z606" s="2"/>
    </row>
    <row r="607" spans="1:26" ht="19.5" customHeight="1">
      <c r="A607" s="28"/>
      <c r="B607" s="28"/>
      <c r="C607" s="28"/>
      <c r="D607" s="29"/>
      <c r="E607" s="29"/>
      <c r="F607" s="28"/>
      <c r="G607" s="28"/>
      <c r="H607" s="28"/>
      <c r="I607" s="28"/>
      <c r="J607" s="28"/>
      <c r="K607" s="28"/>
      <c r="L607" s="28"/>
      <c r="M607" s="28"/>
      <c r="N607" s="28"/>
      <c r="O607" s="28"/>
      <c r="P607" s="28"/>
      <c r="Q607" s="28"/>
      <c r="R607" s="28"/>
      <c r="S607" s="28"/>
      <c r="T607" s="28"/>
      <c r="U607" s="7"/>
      <c r="V607" s="28"/>
      <c r="W607" s="28"/>
      <c r="X607" s="2"/>
      <c r="Y607" s="2"/>
      <c r="Z607" s="2"/>
    </row>
    <row r="608" spans="1:26" ht="19.5" customHeight="1">
      <c r="A608" s="28"/>
      <c r="B608" s="28"/>
      <c r="C608" s="28"/>
      <c r="D608" s="29"/>
      <c r="E608" s="29"/>
      <c r="F608" s="28"/>
      <c r="G608" s="28"/>
      <c r="H608" s="28"/>
      <c r="I608" s="28"/>
      <c r="J608" s="28"/>
      <c r="K608" s="28"/>
      <c r="L608" s="28"/>
      <c r="M608" s="28"/>
      <c r="N608" s="28"/>
      <c r="O608" s="28"/>
      <c r="P608" s="28"/>
      <c r="Q608" s="28"/>
      <c r="R608" s="28"/>
      <c r="S608" s="28"/>
      <c r="T608" s="28"/>
      <c r="U608" s="7"/>
      <c r="V608" s="28"/>
      <c r="W608" s="28"/>
      <c r="X608" s="2"/>
      <c r="Y608" s="2"/>
      <c r="Z608" s="2"/>
    </row>
    <row r="609" spans="1:26" ht="19.5" customHeight="1">
      <c r="A609" s="28"/>
      <c r="B609" s="28"/>
      <c r="C609" s="28"/>
      <c r="D609" s="29"/>
      <c r="E609" s="29"/>
      <c r="F609" s="28"/>
      <c r="G609" s="28"/>
      <c r="H609" s="28"/>
      <c r="I609" s="28"/>
      <c r="J609" s="28"/>
      <c r="K609" s="28"/>
      <c r="L609" s="28"/>
      <c r="M609" s="28"/>
      <c r="N609" s="28"/>
      <c r="O609" s="28"/>
      <c r="P609" s="28"/>
      <c r="Q609" s="28"/>
      <c r="R609" s="28"/>
      <c r="S609" s="28"/>
      <c r="T609" s="28"/>
      <c r="U609" s="7"/>
      <c r="V609" s="28"/>
      <c r="W609" s="28"/>
      <c r="X609" s="2"/>
      <c r="Y609" s="2"/>
      <c r="Z609" s="2"/>
    </row>
    <row r="610" spans="1:26" ht="19.5" customHeight="1">
      <c r="A610" s="28"/>
      <c r="B610" s="28"/>
      <c r="C610" s="28"/>
      <c r="D610" s="29"/>
      <c r="E610" s="29"/>
      <c r="F610" s="28"/>
      <c r="G610" s="28"/>
      <c r="H610" s="28"/>
      <c r="I610" s="28"/>
      <c r="J610" s="28"/>
      <c r="K610" s="28"/>
      <c r="L610" s="28"/>
      <c r="M610" s="28"/>
      <c r="N610" s="28"/>
      <c r="O610" s="28"/>
      <c r="P610" s="28"/>
      <c r="Q610" s="28"/>
      <c r="R610" s="28"/>
      <c r="S610" s="28"/>
      <c r="T610" s="28"/>
      <c r="U610" s="7"/>
      <c r="V610" s="28"/>
      <c r="W610" s="28"/>
      <c r="X610" s="2"/>
      <c r="Y610" s="2"/>
      <c r="Z610" s="2"/>
    </row>
    <row r="611" spans="1:26" ht="19.5" customHeight="1">
      <c r="A611" s="28"/>
      <c r="B611" s="28"/>
      <c r="C611" s="28"/>
      <c r="D611" s="29"/>
      <c r="E611" s="29"/>
      <c r="F611" s="28"/>
      <c r="G611" s="28"/>
      <c r="H611" s="28"/>
      <c r="I611" s="28"/>
      <c r="J611" s="28"/>
      <c r="K611" s="28"/>
      <c r="L611" s="28"/>
      <c r="M611" s="28"/>
      <c r="N611" s="28"/>
      <c r="O611" s="28"/>
      <c r="P611" s="28"/>
      <c r="Q611" s="28"/>
      <c r="R611" s="28"/>
      <c r="S611" s="28"/>
      <c r="T611" s="28"/>
      <c r="U611" s="7"/>
      <c r="V611" s="28"/>
      <c r="W611" s="28"/>
      <c r="X611" s="2"/>
      <c r="Y611" s="2"/>
      <c r="Z611" s="2"/>
    </row>
    <row r="612" spans="1:26" ht="19.5" customHeight="1">
      <c r="A612" s="28"/>
      <c r="B612" s="28"/>
      <c r="C612" s="28"/>
      <c r="D612" s="29"/>
      <c r="E612" s="29"/>
      <c r="F612" s="28"/>
      <c r="G612" s="28"/>
      <c r="H612" s="28"/>
      <c r="I612" s="28"/>
      <c r="J612" s="28"/>
      <c r="K612" s="28"/>
      <c r="L612" s="28"/>
      <c r="M612" s="28"/>
      <c r="N612" s="28"/>
      <c r="O612" s="28"/>
      <c r="P612" s="28"/>
      <c r="Q612" s="28"/>
      <c r="R612" s="28"/>
      <c r="S612" s="28"/>
      <c r="T612" s="28"/>
      <c r="U612" s="7"/>
      <c r="V612" s="28"/>
      <c r="W612" s="28"/>
      <c r="X612" s="2"/>
      <c r="Y612" s="2"/>
      <c r="Z612" s="2"/>
    </row>
    <row r="613" spans="1:26" ht="19.5" customHeight="1">
      <c r="A613" s="28"/>
      <c r="B613" s="28"/>
      <c r="C613" s="28"/>
      <c r="D613" s="29"/>
      <c r="E613" s="29"/>
      <c r="F613" s="28"/>
      <c r="G613" s="28"/>
      <c r="H613" s="28"/>
      <c r="I613" s="28"/>
      <c r="J613" s="28"/>
      <c r="K613" s="28"/>
      <c r="L613" s="28"/>
      <c r="M613" s="28"/>
      <c r="N613" s="28"/>
      <c r="O613" s="28"/>
      <c r="P613" s="28"/>
      <c r="Q613" s="28"/>
      <c r="R613" s="28"/>
      <c r="S613" s="28"/>
      <c r="T613" s="28"/>
      <c r="U613" s="7"/>
      <c r="V613" s="28"/>
      <c r="W613" s="28"/>
      <c r="X613" s="2"/>
      <c r="Y613" s="2"/>
      <c r="Z613" s="2"/>
    </row>
    <row r="614" spans="1:26" ht="19.5" customHeight="1">
      <c r="A614" s="28"/>
      <c r="B614" s="28"/>
      <c r="C614" s="28"/>
      <c r="D614" s="29"/>
      <c r="E614" s="29"/>
      <c r="F614" s="28"/>
      <c r="G614" s="28"/>
      <c r="H614" s="28"/>
      <c r="I614" s="28"/>
      <c r="J614" s="28"/>
      <c r="K614" s="28"/>
      <c r="L614" s="28"/>
      <c r="M614" s="28"/>
      <c r="N614" s="28"/>
      <c r="O614" s="28"/>
      <c r="P614" s="28"/>
      <c r="Q614" s="28"/>
      <c r="R614" s="28"/>
      <c r="S614" s="28"/>
      <c r="T614" s="28"/>
      <c r="U614" s="7"/>
      <c r="V614" s="28"/>
      <c r="W614" s="28"/>
      <c r="X614" s="2"/>
      <c r="Y614" s="2"/>
      <c r="Z614" s="2"/>
    </row>
    <row r="615" spans="1:26" ht="19.5" customHeight="1">
      <c r="A615" s="28"/>
      <c r="B615" s="28"/>
      <c r="C615" s="28"/>
      <c r="D615" s="29"/>
      <c r="E615" s="29"/>
      <c r="F615" s="28"/>
      <c r="G615" s="28"/>
      <c r="H615" s="28"/>
      <c r="I615" s="28"/>
      <c r="J615" s="28"/>
      <c r="K615" s="28"/>
      <c r="L615" s="28"/>
      <c r="M615" s="28"/>
      <c r="N615" s="28"/>
      <c r="O615" s="28"/>
      <c r="P615" s="28"/>
      <c r="Q615" s="28"/>
      <c r="R615" s="28"/>
      <c r="S615" s="28"/>
      <c r="T615" s="28"/>
      <c r="U615" s="7"/>
      <c r="V615" s="28"/>
      <c r="W615" s="28"/>
      <c r="X615" s="2"/>
      <c r="Y615" s="2"/>
      <c r="Z615" s="2"/>
    </row>
    <row r="616" spans="1:26" ht="19.5" customHeight="1">
      <c r="A616" s="28"/>
      <c r="B616" s="28"/>
      <c r="C616" s="28"/>
      <c r="D616" s="29"/>
      <c r="E616" s="29"/>
      <c r="F616" s="28"/>
      <c r="G616" s="28"/>
      <c r="H616" s="28"/>
      <c r="I616" s="28"/>
      <c r="J616" s="28"/>
      <c r="K616" s="28"/>
      <c r="L616" s="28"/>
      <c r="M616" s="28"/>
      <c r="N616" s="28"/>
      <c r="O616" s="28"/>
      <c r="P616" s="28"/>
      <c r="Q616" s="28"/>
      <c r="R616" s="28"/>
      <c r="S616" s="28"/>
      <c r="T616" s="28"/>
      <c r="U616" s="7"/>
      <c r="V616" s="28"/>
      <c r="W616" s="28"/>
      <c r="X616" s="2"/>
      <c r="Y616" s="2"/>
      <c r="Z616" s="2"/>
    </row>
    <row r="617" spans="1:26" ht="19.5" customHeight="1">
      <c r="A617" s="28"/>
      <c r="B617" s="28"/>
      <c r="C617" s="28"/>
      <c r="D617" s="29"/>
      <c r="E617" s="29"/>
      <c r="F617" s="28"/>
      <c r="G617" s="28"/>
      <c r="H617" s="28"/>
      <c r="I617" s="28"/>
      <c r="J617" s="28"/>
      <c r="K617" s="28"/>
      <c r="L617" s="28"/>
      <c r="M617" s="28"/>
      <c r="N617" s="28"/>
      <c r="O617" s="28"/>
      <c r="P617" s="28"/>
      <c r="Q617" s="28"/>
      <c r="R617" s="28"/>
      <c r="S617" s="28"/>
      <c r="T617" s="28"/>
      <c r="U617" s="7"/>
      <c r="V617" s="28"/>
      <c r="W617" s="28"/>
      <c r="X617" s="2"/>
      <c r="Y617" s="2"/>
      <c r="Z617" s="2"/>
    </row>
    <row r="618" spans="1:26" ht="19.5" customHeight="1">
      <c r="A618" s="28"/>
      <c r="B618" s="28"/>
      <c r="C618" s="28"/>
      <c r="D618" s="29"/>
      <c r="E618" s="29"/>
      <c r="F618" s="28"/>
      <c r="G618" s="28"/>
      <c r="H618" s="28"/>
      <c r="I618" s="28"/>
      <c r="J618" s="28"/>
      <c r="K618" s="28"/>
      <c r="L618" s="28"/>
      <c r="M618" s="28"/>
      <c r="N618" s="28"/>
      <c r="O618" s="28"/>
      <c r="P618" s="28"/>
      <c r="Q618" s="28"/>
      <c r="R618" s="28"/>
      <c r="S618" s="28"/>
      <c r="T618" s="28"/>
      <c r="U618" s="7"/>
      <c r="V618" s="28"/>
      <c r="W618" s="28"/>
      <c r="X618" s="2"/>
      <c r="Y618" s="2"/>
      <c r="Z618" s="2"/>
    </row>
    <row r="619" spans="1:26" ht="19.5" customHeight="1">
      <c r="A619" s="28"/>
      <c r="B619" s="28"/>
      <c r="C619" s="28"/>
      <c r="D619" s="29"/>
      <c r="E619" s="29"/>
      <c r="F619" s="28"/>
      <c r="G619" s="28"/>
      <c r="H619" s="28"/>
      <c r="I619" s="28"/>
      <c r="J619" s="28"/>
      <c r="K619" s="28"/>
      <c r="L619" s="28"/>
      <c r="M619" s="28"/>
      <c r="N619" s="28"/>
      <c r="O619" s="28"/>
      <c r="P619" s="28"/>
      <c r="Q619" s="28"/>
      <c r="R619" s="28"/>
      <c r="S619" s="28"/>
      <c r="T619" s="28"/>
      <c r="U619" s="7"/>
      <c r="V619" s="28"/>
      <c r="W619" s="28"/>
      <c r="X619" s="2"/>
      <c r="Y619" s="2"/>
      <c r="Z619" s="2"/>
    </row>
    <row r="620" spans="1:26" ht="19.5" customHeight="1">
      <c r="A620" s="28"/>
      <c r="B620" s="28"/>
      <c r="C620" s="28"/>
      <c r="D620" s="29"/>
      <c r="E620" s="29"/>
      <c r="F620" s="28"/>
      <c r="G620" s="28"/>
      <c r="H620" s="28"/>
      <c r="I620" s="28"/>
      <c r="J620" s="28"/>
      <c r="K620" s="28"/>
      <c r="L620" s="28"/>
      <c r="M620" s="28"/>
      <c r="N620" s="28"/>
      <c r="O620" s="28"/>
      <c r="P620" s="28"/>
      <c r="Q620" s="28"/>
      <c r="R620" s="28"/>
      <c r="S620" s="28"/>
      <c r="T620" s="28"/>
      <c r="U620" s="7"/>
      <c r="V620" s="28"/>
      <c r="W620" s="28"/>
      <c r="X620" s="2"/>
      <c r="Y620" s="2"/>
      <c r="Z620" s="2"/>
    </row>
    <row r="621" spans="1:26" ht="19.5" customHeight="1">
      <c r="A621" s="28"/>
      <c r="B621" s="28"/>
      <c r="C621" s="28"/>
      <c r="D621" s="29"/>
      <c r="E621" s="29"/>
      <c r="F621" s="28"/>
      <c r="G621" s="28"/>
      <c r="H621" s="28"/>
      <c r="I621" s="28"/>
      <c r="J621" s="28"/>
      <c r="K621" s="28"/>
      <c r="L621" s="28"/>
      <c r="M621" s="28"/>
      <c r="N621" s="28"/>
      <c r="O621" s="28"/>
      <c r="P621" s="28"/>
      <c r="Q621" s="28"/>
      <c r="R621" s="28"/>
      <c r="S621" s="28"/>
      <c r="T621" s="28"/>
      <c r="U621" s="7"/>
      <c r="V621" s="28"/>
      <c r="W621" s="28"/>
      <c r="X621" s="2"/>
      <c r="Y621" s="2"/>
      <c r="Z621" s="2"/>
    </row>
    <row r="622" spans="1:26" ht="19.5" customHeight="1">
      <c r="A622" s="28"/>
      <c r="B622" s="28"/>
      <c r="C622" s="28"/>
      <c r="D622" s="29"/>
      <c r="E622" s="29"/>
      <c r="F622" s="28"/>
      <c r="G622" s="28"/>
      <c r="H622" s="28"/>
      <c r="I622" s="28"/>
      <c r="J622" s="28"/>
      <c r="K622" s="28"/>
      <c r="L622" s="28"/>
      <c r="M622" s="28"/>
      <c r="N622" s="28"/>
      <c r="O622" s="28"/>
      <c r="P622" s="28"/>
      <c r="Q622" s="28"/>
      <c r="R622" s="28"/>
      <c r="S622" s="28"/>
      <c r="T622" s="28"/>
      <c r="U622" s="7"/>
      <c r="V622" s="28"/>
      <c r="W622" s="28"/>
      <c r="X622" s="2"/>
      <c r="Y622" s="2"/>
      <c r="Z622" s="2"/>
    </row>
    <row r="623" spans="1:26" ht="19.5" customHeight="1">
      <c r="A623" s="28"/>
      <c r="B623" s="28"/>
      <c r="C623" s="28"/>
      <c r="D623" s="29"/>
      <c r="E623" s="29"/>
      <c r="F623" s="28"/>
      <c r="G623" s="28"/>
      <c r="H623" s="28"/>
      <c r="I623" s="28"/>
      <c r="J623" s="28"/>
      <c r="K623" s="28"/>
      <c r="L623" s="28"/>
      <c r="M623" s="28"/>
      <c r="N623" s="28"/>
      <c r="O623" s="28"/>
      <c r="P623" s="28"/>
      <c r="Q623" s="28"/>
      <c r="R623" s="28"/>
      <c r="S623" s="28"/>
      <c r="T623" s="28"/>
      <c r="U623" s="7"/>
      <c r="V623" s="28"/>
      <c r="W623" s="28"/>
      <c r="X623" s="2"/>
      <c r="Y623" s="2"/>
      <c r="Z623" s="2"/>
    </row>
    <row r="624" spans="1:26" ht="19.5" customHeight="1">
      <c r="A624" s="28"/>
      <c r="B624" s="28"/>
      <c r="C624" s="28"/>
      <c r="D624" s="29"/>
      <c r="E624" s="29"/>
      <c r="F624" s="28"/>
      <c r="G624" s="28"/>
      <c r="H624" s="28"/>
      <c r="I624" s="28"/>
      <c r="J624" s="28"/>
      <c r="K624" s="28"/>
      <c r="L624" s="28"/>
      <c r="M624" s="28"/>
      <c r="N624" s="28"/>
      <c r="O624" s="28"/>
      <c r="P624" s="28"/>
      <c r="Q624" s="28"/>
      <c r="R624" s="28"/>
      <c r="S624" s="28"/>
      <c r="T624" s="28"/>
      <c r="U624" s="7"/>
      <c r="V624" s="28"/>
      <c r="W624" s="28"/>
      <c r="X624" s="2"/>
      <c r="Y624" s="2"/>
      <c r="Z624" s="2"/>
    </row>
    <row r="625" spans="1:26" ht="19.5" customHeight="1">
      <c r="A625" s="28"/>
      <c r="B625" s="28"/>
      <c r="C625" s="28"/>
      <c r="D625" s="29"/>
      <c r="E625" s="29"/>
      <c r="F625" s="28"/>
      <c r="G625" s="28"/>
      <c r="H625" s="28"/>
      <c r="I625" s="28"/>
      <c r="J625" s="28"/>
      <c r="K625" s="28"/>
      <c r="L625" s="28"/>
      <c r="M625" s="28"/>
      <c r="N625" s="28"/>
      <c r="O625" s="28"/>
      <c r="P625" s="28"/>
      <c r="Q625" s="28"/>
      <c r="R625" s="28"/>
      <c r="S625" s="28"/>
      <c r="T625" s="28"/>
      <c r="U625" s="7"/>
      <c r="V625" s="28"/>
      <c r="W625" s="28"/>
      <c r="X625" s="2"/>
      <c r="Y625" s="2"/>
      <c r="Z625" s="2"/>
    </row>
    <row r="626" spans="1:26" ht="19.5" customHeight="1">
      <c r="A626" s="28"/>
      <c r="B626" s="28"/>
      <c r="C626" s="28"/>
      <c r="D626" s="29"/>
      <c r="E626" s="29"/>
      <c r="F626" s="28"/>
      <c r="G626" s="28"/>
      <c r="H626" s="28"/>
      <c r="I626" s="28"/>
      <c r="J626" s="28"/>
      <c r="K626" s="28"/>
      <c r="L626" s="28"/>
      <c r="M626" s="28"/>
      <c r="N626" s="28"/>
      <c r="O626" s="28"/>
      <c r="P626" s="28"/>
      <c r="Q626" s="28"/>
      <c r="R626" s="28"/>
      <c r="S626" s="28"/>
      <c r="T626" s="28"/>
      <c r="U626" s="7"/>
      <c r="V626" s="28"/>
      <c r="W626" s="28"/>
      <c r="X626" s="2"/>
      <c r="Y626" s="2"/>
      <c r="Z626" s="2"/>
    </row>
    <row r="627" spans="1:26" ht="19.5" customHeight="1">
      <c r="A627" s="28"/>
      <c r="B627" s="28"/>
      <c r="C627" s="28"/>
      <c r="D627" s="29"/>
      <c r="E627" s="29"/>
      <c r="F627" s="28"/>
      <c r="G627" s="28"/>
      <c r="H627" s="28"/>
      <c r="I627" s="28"/>
      <c r="J627" s="28"/>
      <c r="K627" s="28"/>
      <c r="L627" s="28"/>
      <c r="M627" s="28"/>
      <c r="N627" s="28"/>
      <c r="O627" s="28"/>
      <c r="P627" s="28"/>
      <c r="Q627" s="28"/>
      <c r="R627" s="28"/>
      <c r="S627" s="28"/>
      <c r="T627" s="28"/>
      <c r="U627" s="7"/>
      <c r="V627" s="28"/>
      <c r="W627" s="28"/>
      <c r="X627" s="2"/>
      <c r="Y627" s="2"/>
      <c r="Z627" s="2"/>
    </row>
    <row r="628" spans="1:26" ht="19.5" customHeight="1">
      <c r="A628" s="28"/>
      <c r="B628" s="28"/>
      <c r="C628" s="28"/>
      <c r="D628" s="29"/>
      <c r="E628" s="29"/>
      <c r="F628" s="28"/>
      <c r="G628" s="28"/>
      <c r="H628" s="28"/>
      <c r="I628" s="28"/>
      <c r="J628" s="28"/>
      <c r="K628" s="28"/>
      <c r="L628" s="28"/>
      <c r="M628" s="28"/>
      <c r="N628" s="28"/>
      <c r="O628" s="28"/>
      <c r="P628" s="28"/>
      <c r="Q628" s="28"/>
      <c r="R628" s="28"/>
      <c r="S628" s="28"/>
      <c r="T628" s="28"/>
      <c r="U628" s="7"/>
      <c r="V628" s="28"/>
      <c r="W628" s="28"/>
      <c r="X628" s="2"/>
      <c r="Y628" s="2"/>
      <c r="Z628" s="2"/>
    </row>
    <row r="629" spans="1:26" ht="19.5" customHeight="1">
      <c r="A629" s="28"/>
      <c r="B629" s="28"/>
      <c r="C629" s="28"/>
      <c r="D629" s="29"/>
      <c r="E629" s="29"/>
      <c r="F629" s="28"/>
      <c r="G629" s="28"/>
      <c r="H629" s="28"/>
      <c r="I629" s="28"/>
      <c r="J629" s="28"/>
      <c r="K629" s="28"/>
      <c r="L629" s="28"/>
      <c r="M629" s="28"/>
      <c r="N629" s="28"/>
      <c r="O629" s="28"/>
      <c r="P629" s="28"/>
      <c r="Q629" s="28"/>
      <c r="R629" s="28"/>
      <c r="S629" s="28"/>
      <c r="T629" s="28"/>
      <c r="U629" s="7"/>
      <c r="V629" s="28"/>
      <c r="W629" s="28"/>
      <c r="X629" s="2"/>
      <c r="Y629" s="2"/>
      <c r="Z629" s="2"/>
    </row>
    <row r="630" spans="1:26" ht="19.5" customHeight="1">
      <c r="A630" s="28"/>
      <c r="B630" s="28"/>
      <c r="C630" s="28"/>
      <c r="D630" s="29"/>
      <c r="E630" s="29"/>
      <c r="F630" s="28"/>
      <c r="G630" s="28"/>
      <c r="H630" s="28"/>
      <c r="I630" s="28"/>
      <c r="J630" s="28"/>
      <c r="K630" s="28"/>
      <c r="L630" s="28"/>
      <c r="M630" s="28"/>
      <c r="N630" s="28"/>
      <c r="O630" s="28"/>
      <c r="P630" s="28"/>
      <c r="Q630" s="28"/>
      <c r="R630" s="28"/>
      <c r="S630" s="28"/>
      <c r="T630" s="28"/>
      <c r="U630" s="7"/>
      <c r="V630" s="28"/>
      <c r="W630" s="28"/>
      <c r="X630" s="2"/>
      <c r="Y630" s="2"/>
      <c r="Z630" s="2"/>
    </row>
    <row r="631" spans="1:26" ht="19.5" customHeight="1">
      <c r="A631" s="28"/>
      <c r="B631" s="28"/>
      <c r="C631" s="28"/>
      <c r="D631" s="29"/>
      <c r="E631" s="29"/>
      <c r="F631" s="28"/>
      <c r="G631" s="28"/>
      <c r="H631" s="28"/>
      <c r="I631" s="28"/>
      <c r="J631" s="28"/>
      <c r="K631" s="28"/>
      <c r="L631" s="28"/>
      <c r="M631" s="28"/>
      <c r="N631" s="28"/>
      <c r="O631" s="28"/>
      <c r="P631" s="28"/>
      <c r="Q631" s="28"/>
      <c r="R631" s="28"/>
      <c r="S631" s="28"/>
      <c r="T631" s="28"/>
      <c r="U631" s="7"/>
      <c r="V631" s="28"/>
      <c r="W631" s="28"/>
      <c r="X631" s="2"/>
      <c r="Y631" s="2"/>
      <c r="Z631" s="2"/>
    </row>
    <row r="632" spans="1:26" ht="19.5" customHeight="1">
      <c r="A632" s="28"/>
      <c r="B632" s="28"/>
      <c r="C632" s="28"/>
      <c r="D632" s="29"/>
      <c r="E632" s="29"/>
      <c r="F632" s="28"/>
      <c r="G632" s="28"/>
      <c r="H632" s="28"/>
      <c r="I632" s="28"/>
      <c r="J632" s="28"/>
      <c r="K632" s="28"/>
      <c r="L632" s="28"/>
      <c r="M632" s="28"/>
      <c r="N632" s="28"/>
      <c r="O632" s="28"/>
      <c r="P632" s="28"/>
      <c r="Q632" s="28"/>
      <c r="R632" s="28"/>
      <c r="S632" s="28"/>
      <c r="T632" s="28"/>
      <c r="U632" s="7"/>
      <c r="V632" s="28"/>
      <c r="W632" s="28"/>
      <c r="X632" s="2"/>
      <c r="Y632" s="2"/>
      <c r="Z632" s="2"/>
    </row>
    <row r="633" spans="1:26" ht="19.5" customHeight="1">
      <c r="A633" s="28"/>
      <c r="B633" s="28"/>
      <c r="C633" s="28"/>
      <c r="D633" s="29"/>
      <c r="E633" s="29"/>
      <c r="F633" s="28"/>
      <c r="G633" s="28"/>
      <c r="H633" s="28"/>
      <c r="I633" s="28"/>
      <c r="J633" s="28"/>
      <c r="K633" s="28"/>
      <c r="L633" s="28"/>
      <c r="M633" s="28"/>
      <c r="N633" s="28"/>
      <c r="O633" s="28"/>
      <c r="P633" s="28"/>
      <c r="Q633" s="28"/>
      <c r="R633" s="28"/>
      <c r="S633" s="28"/>
      <c r="T633" s="28"/>
      <c r="U633" s="7"/>
      <c r="V633" s="28"/>
      <c r="W633" s="28"/>
      <c r="X633" s="2"/>
      <c r="Y633" s="2"/>
      <c r="Z633" s="2"/>
    </row>
    <row r="634" spans="1:26" ht="19.5" customHeight="1">
      <c r="A634" s="28"/>
      <c r="B634" s="28"/>
      <c r="C634" s="28"/>
      <c r="D634" s="29"/>
      <c r="E634" s="29"/>
      <c r="F634" s="28"/>
      <c r="G634" s="28"/>
      <c r="H634" s="28"/>
      <c r="I634" s="28"/>
      <c r="J634" s="28"/>
      <c r="K634" s="28"/>
      <c r="L634" s="28"/>
      <c r="M634" s="28"/>
      <c r="N634" s="28"/>
      <c r="O634" s="28"/>
      <c r="P634" s="28"/>
      <c r="Q634" s="28"/>
      <c r="R634" s="28"/>
      <c r="S634" s="28"/>
      <c r="T634" s="28"/>
      <c r="U634" s="7"/>
      <c r="V634" s="28"/>
      <c r="W634" s="28"/>
      <c r="X634" s="2"/>
      <c r="Y634" s="2"/>
      <c r="Z634" s="2"/>
    </row>
    <row r="635" spans="1:26" ht="19.5" customHeight="1">
      <c r="A635" s="28"/>
      <c r="B635" s="28"/>
      <c r="C635" s="28"/>
      <c r="D635" s="29"/>
      <c r="E635" s="29"/>
      <c r="F635" s="28"/>
      <c r="G635" s="28"/>
      <c r="H635" s="28"/>
      <c r="I635" s="28"/>
      <c r="J635" s="28"/>
      <c r="K635" s="28"/>
      <c r="L635" s="28"/>
      <c r="M635" s="28"/>
      <c r="N635" s="28"/>
      <c r="O635" s="28"/>
      <c r="P635" s="28"/>
      <c r="Q635" s="28"/>
      <c r="R635" s="28"/>
      <c r="S635" s="28"/>
      <c r="T635" s="28"/>
      <c r="U635" s="7"/>
      <c r="V635" s="28"/>
      <c r="W635" s="28"/>
      <c r="X635" s="2"/>
      <c r="Y635" s="2"/>
      <c r="Z635" s="2"/>
    </row>
    <row r="636" spans="1:26" ht="19.5" customHeight="1">
      <c r="A636" s="28"/>
      <c r="B636" s="28"/>
      <c r="C636" s="28"/>
      <c r="D636" s="29"/>
      <c r="E636" s="29"/>
      <c r="F636" s="28"/>
      <c r="G636" s="28"/>
      <c r="H636" s="28"/>
      <c r="I636" s="28"/>
      <c r="J636" s="28"/>
      <c r="K636" s="28"/>
      <c r="L636" s="28"/>
      <c r="M636" s="28"/>
      <c r="N636" s="28"/>
      <c r="O636" s="28"/>
      <c r="P636" s="28"/>
      <c r="Q636" s="28"/>
      <c r="R636" s="28"/>
      <c r="S636" s="28"/>
      <c r="T636" s="28"/>
      <c r="U636" s="7"/>
      <c r="V636" s="28"/>
      <c r="W636" s="28"/>
      <c r="X636" s="2"/>
      <c r="Y636" s="2"/>
      <c r="Z636" s="2"/>
    </row>
    <row r="637" spans="1:26" ht="19.5" customHeight="1">
      <c r="A637" s="28"/>
      <c r="B637" s="28"/>
      <c r="C637" s="28"/>
      <c r="D637" s="29"/>
      <c r="E637" s="29"/>
      <c r="F637" s="28"/>
      <c r="G637" s="28"/>
      <c r="H637" s="28"/>
      <c r="I637" s="28"/>
      <c r="J637" s="28"/>
      <c r="K637" s="28"/>
      <c r="L637" s="28"/>
      <c r="M637" s="28"/>
      <c r="N637" s="28"/>
      <c r="O637" s="28"/>
      <c r="P637" s="28"/>
      <c r="Q637" s="28"/>
      <c r="R637" s="28"/>
      <c r="S637" s="28"/>
      <c r="T637" s="28"/>
      <c r="U637" s="7"/>
      <c r="V637" s="28"/>
      <c r="W637" s="28"/>
      <c r="X637" s="2"/>
      <c r="Y637" s="2"/>
      <c r="Z637" s="2"/>
    </row>
    <row r="638" spans="1:26" ht="19.5" customHeight="1">
      <c r="A638" s="28"/>
      <c r="B638" s="28"/>
      <c r="C638" s="28"/>
      <c r="D638" s="29"/>
      <c r="E638" s="29"/>
      <c r="F638" s="28"/>
      <c r="G638" s="28"/>
      <c r="H638" s="28"/>
      <c r="I638" s="28"/>
      <c r="J638" s="28"/>
      <c r="K638" s="28"/>
      <c r="L638" s="28"/>
      <c r="M638" s="28"/>
      <c r="N638" s="28"/>
      <c r="O638" s="28"/>
      <c r="P638" s="28"/>
      <c r="Q638" s="28"/>
      <c r="R638" s="28"/>
      <c r="S638" s="28"/>
      <c r="T638" s="28"/>
      <c r="U638" s="7"/>
      <c r="V638" s="28"/>
      <c r="W638" s="28"/>
      <c r="X638" s="2"/>
      <c r="Y638" s="2"/>
      <c r="Z638" s="2"/>
    </row>
    <row r="639" spans="1:26" ht="19.5" customHeight="1">
      <c r="A639" s="28"/>
      <c r="B639" s="28"/>
      <c r="C639" s="28"/>
      <c r="D639" s="29"/>
      <c r="E639" s="29"/>
      <c r="F639" s="28"/>
      <c r="G639" s="28"/>
      <c r="H639" s="28"/>
      <c r="I639" s="28"/>
      <c r="J639" s="28"/>
      <c r="K639" s="28"/>
      <c r="L639" s="28"/>
      <c r="M639" s="28"/>
      <c r="N639" s="28"/>
      <c r="O639" s="28"/>
      <c r="P639" s="28"/>
      <c r="Q639" s="28"/>
      <c r="R639" s="28"/>
      <c r="S639" s="28"/>
      <c r="T639" s="28"/>
      <c r="U639" s="7"/>
      <c r="V639" s="28"/>
      <c r="W639" s="28"/>
      <c r="X639" s="2"/>
      <c r="Y639" s="2"/>
      <c r="Z639" s="2"/>
    </row>
    <row r="640" spans="1:26" ht="19.5" customHeight="1">
      <c r="A640" s="28"/>
      <c r="B640" s="28"/>
      <c r="C640" s="28"/>
      <c r="D640" s="29"/>
      <c r="E640" s="29"/>
      <c r="F640" s="28"/>
      <c r="G640" s="28"/>
      <c r="H640" s="28"/>
      <c r="I640" s="28"/>
      <c r="J640" s="28"/>
      <c r="K640" s="28"/>
      <c r="L640" s="28"/>
      <c r="M640" s="28"/>
      <c r="N640" s="28"/>
      <c r="O640" s="28"/>
      <c r="P640" s="28"/>
      <c r="Q640" s="28"/>
      <c r="R640" s="28"/>
      <c r="S640" s="28"/>
      <c r="T640" s="28"/>
      <c r="U640" s="7"/>
      <c r="V640" s="28"/>
      <c r="W640" s="28"/>
      <c r="X640" s="2"/>
      <c r="Y640" s="2"/>
      <c r="Z640" s="2"/>
    </row>
    <row r="641" spans="1:26" ht="19.5" customHeight="1">
      <c r="A641" s="28"/>
      <c r="B641" s="28"/>
      <c r="C641" s="28"/>
      <c r="D641" s="29"/>
      <c r="E641" s="29"/>
      <c r="F641" s="28"/>
      <c r="G641" s="28"/>
      <c r="H641" s="28"/>
      <c r="I641" s="28"/>
      <c r="J641" s="28"/>
      <c r="K641" s="28"/>
      <c r="L641" s="28"/>
      <c r="M641" s="28"/>
      <c r="N641" s="28"/>
      <c r="O641" s="28"/>
      <c r="P641" s="28"/>
      <c r="Q641" s="28"/>
      <c r="R641" s="28"/>
      <c r="S641" s="28"/>
      <c r="T641" s="28"/>
      <c r="U641" s="7"/>
      <c r="V641" s="28"/>
      <c r="W641" s="28"/>
      <c r="X641" s="2"/>
      <c r="Y641" s="2"/>
      <c r="Z641" s="2"/>
    </row>
    <row r="642" spans="1:26" ht="19.5" customHeight="1">
      <c r="A642" s="28"/>
      <c r="B642" s="28"/>
      <c r="C642" s="28"/>
      <c r="D642" s="29"/>
      <c r="E642" s="29"/>
      <c r="F642" s="28"/>
      <c r="G642" s="28"/>
      <c r="H642" s="28"/>
      <c r="I642" s="28"/>
      <c r="J642" s="28"/>
      <c r="K642" s="28"/>
      <c r="L642" s="28"/>
      <c r="M642" s="28"/>
      <c r="N642" s="28"/>
      <c r="O642" s="28"/>
      <c r="P642" s="28"/>
      <c r="Q642" s="28"/>
      <c r="R642" s="28"/>
      <c r="S642" s="28"/>
      <c r="T642" s="28"/>
      <c r="U642" s="7"/>
      <c r="V642" s="28"/>
      <c r="W642" s="28"/>
      <c r="X642" s="2"/>
      <c r="Y642" s="2"/>
      <c r="Z642" s="2"/>
    </row>
    <row r="643" spans="1:26" ht="19.5" customHeight="1">
      <c r="A643" s="28"/>
      <c r="B643" s="28"/>
      <c r="C643" s="28"/>
      <c r="D643" s="29"/>
      <c r="E643" s="29"/>
      <c r="F643" s="28"/>
      <c r="G643" s="28"/>
      <c r="H643" s="28"/>
      <c r="I643" s="28"/>
      <c r="J643" s="28"/>
      <c r="K643" s="28"/>
      <c r="L643" s="28"/>
      <c r="M643" s="28"/>
      <c r="N643" s="28"/>
      <c r="O643" s="28"/>
      <c r="P643" s="28"/>
      <c r="Q643" s="28"/>
      <c r="R643" s="28"/>
      <c r="S643" s="28"/>
      <c r="T643" s="28"/>
      <c r="U643" s="7"/>
      <c r="V643" s="28"/>
      <c r="W643" s="28"/>
      <c r="X643" s="2"/>
      <c r="Y643" s="2"/>
      <c r="Z643" s="2"/>
    </row>
    <row r="644" spans="1:26" ht="19.5" customHeight="1">
      <c r="A644" s="28"/>
      <c r="B644" s="28"/>
      <c r="C644" s="28"/>
      <c r="D644" s="29"/>
      <c r="E644" s="29"/>
      <c r="F644" s="28"/>
      <c r="G644" s="28"/>
      <c r="H644" s="28"/>
      <c r="I644" s="28"/>
      <c r="J644" s="28"/>
      <c r="K644" s="28"/>
      <c r="L644" s="28"/>
      <c r="M644" s="28"/>
      <c r="N644" s="28"/>
      <c r="O644" s="28"/>
      <c r="P644" s="28"/>
      <c r="Q644" s="28"/>
      <c r="R644" s="28"/>
      <c r="S644" s="28"/>
      <c r="T644" s="28"/>
      <c r="U644" s="7"/>
      <c r="V644" s="28"/>
      <c r="W644" s="28"/>
      <c r="X644" s="2"/>
      <c r="Y644" s="2"/>
      <c r="Z644" s="2"/>
    </row>
    <row r="645" spans="1:26" ht="19.5" customHeight="1">
      <c r="A645" s="28"/>
      <c r="B645" s="28"/>
      <c r="C645" s="28"/>
      <c r="D645" s="29"/>
      <c r="E645" s="29"/>
      <c r="F645" s="28"/>
      <c r="G645" s="28"/>
      <c r="H645" s="28"/>
      <c r="I645" s="28"/>
      <c r="J645" s="28"/>
      <c r="K645" s="28"/>
      <c r="L645" s="28"/>
      <c r="M645" s="28"/>
      <c r="N645" s="28"/>
      <c r="O645" s="28"/>
      <c r="P645" s="28"/>
      <c r="Q645" s="28"/>
      <c r="R645" s="28"/>
      <c r="S645" s="28"/>
      <c r="T645" s="28"/>
      <c r="U645" s="7"/>
      <c r="V645" s="28"/>
      <c r="W645" s="28"/>
      <c r="X645" s="2"/>
      <c r="Y645" s="2"/>
      <c r="Z645" s="2"/>
    </row>
    <row r="646" spans="1:26" ht="19.5" customHeight="1">
      <c r="A646" s="28"/>
      <c r="B646" s="28"/>
      <c r="C646" s="28"/>
      <c r="D646" s="29"/>
      <c r="E646" s="29"/>
      <c r="F646" s="28"/>
      <c r="G646" s="28"/>
      <c r="H646" s="28"/>
      <c r="I646" s="28"/>
      <c r="J646" s="28"/>
      <c r="K646" s="28"/>
      <c r="L646" s="28"/>
      <c r="M646" s="28"/>
      <c r="N646" s="28"/>
      <c r="O646" s="28"/>
      <c r="P646" s="28"/>
      <c r="Q646" s="28"/>
      <c r="R646" s="28"/>
      <c r="S646" s="28"/>
      <c r="T646" s="28"/>
      <c r="U646" s="7"/>
      <c r="V646" s="28"/>
      <c r="W646" s="28"/>
      <c r="X646" s="2"/>
      <c r="Y646" s="2"/>
      <c r="Z646" s="2"/>
    </row>
    <row r="647" spans="1:26" ht="19.5" customHeight="1">
      <c r="A647" s="28"/>
      <c r="B647" s="28"/>
      <c r="C647" s="28"/>
      <c r="D647" s="29"/>
      <c r="E647" s="29"/>
      <c r="F647" s="28"/>
      <c r="G647" s="28"/>
      <c r="H647" s="28"/>
      <c r="I647" s="28"/>
      <c r="J647" s="28"/>
      <c r="K647" s="28"/>
      <c r="L647" s="28"/>
      <c r="M647" s="28"/>
      <c r="N647" s="28"/>
      <c r="O647" s="28"/>
      <c r="P647" s="28"/>
      <c r="Q647" s="28"/>
      <c r="R647" s="28"/>
      <c r="S647" s="28"/>
      <c r="T647" s="28"/>
      <c r="U647" s="7"/>
      <c r="V647" s="28"/>
      <c r="W647" s="28"/>
      <c r="X647" s="2"/>
      <c r="Y647" s="2"/>
      <c r="Z647" s="2"/>
    </row>
    <row r="648" spans="1:26" ht="19.5" customHeight="1">
      <c r="A648" s="28"/>
      <c r="B648" s="28"/>
      <c r="C648" s="28"/>
      <c r="D648" s="29"/>
      <c r="E648" s="29"/>
      <c r="F648" s="28"/>
      <c r="G648" s="28"/>
      <c r="H648" s="28"/>
      <c r="I648" s="28"/>
      <c r="J648" s="28"/>
      <c r="K648" s="28"/>
      <c r="L648" s="28"/>
      <c r="M648" s="28"/>
      <c r="N648" s="28"/>
      <c r="O648" s="28"/>
      <c r="P648" s="28"/>
      <c r="Q648" s="28"/>
      <c r="R648" s="28"/>
      <c r="S648" s="28"/>
      <c r="T648" s="28"/>
      <c r="U648" s="7"/>
      <c r="V648" s="28"/>
      <c r="W648" s="28"/>
      <c r="X648" s="2"/>
      <c r="Y648" s="2"/>
      <c r="Z648" s="2"/>
    </row>
    <row r="649" spans="1:26" ht="19.5" customHeight="1">
      <c r="A649" s="28"/>
      <c r="B649" s="28"/>
      <c r="C649" s="28"/>
      <c r="D649" s="29"/>
      <c r="E649" s="29"/>
      <c r="F649" s="28"/>
      <c r="G649" s="28"/>
      <c r="H649" s="28"/>
      <c r="I649" s="28"/>
      <c r="J649" s="28"/>
      <c r="K649" s="28"/>
      <c r="L649" s="28"/>
      <c r="M649" s="28"/>
      <c r="N649" s="28"/>
      <c r="O649" s="28"/>
      <c r="P649" s="28"/>
      <c r="Q649" s="28"/>
      <c r="R649" s="28"/>
      <c r="S649" s="28"/>
      <c r="T649" s="28"/>
      <c r="U649" s="7"/>
      <c r="V649" s="28"/>
      <c r="W649" s="28"/>
      <c r="X649" s="2"/>
      <c r="Y649" s="2"/>
      <c r="Z649" s="2"/>
    </row>
    <row r="650" spans="1:26" ht="19.5" customHeight="1">
      <c r="A650" s="28"/>
      <c r="B650" s="28"/>
      <c r="C650" s="28"/>
      <c r="D650" s="29"/>
      <c r="E650" s="29"/>
      <c r="F650" s="28"/>
      <c r="G650" s="28"/>
      <c r="H650" s="28"/>
      <c r="I650" s="28"/>
      <c r="J650" s="28"/>
      <c r="K650" s="28"/>
      <c r="L650" s="28"/>
      <c r="M650" s="28"/>
      <c r="N650" s="28"/>
      <c r="O650" s="28"/>
      <c r="P650" s="28"/>
      <c r="Q650" s="28"/>
      <c r="R650" s="28"/>
      <c r="S650" s="28"/>
      <c r="T650" s="28"/>
      <c r="U650" s="7"/>
      <c r="V650" s="28"/>
      <c r="W650" s="28"/>
      <c r="X650" s="2"/>
      <c r="Y650" s="2"/>
      <c r="Z650" s="2"/>
    </row>
    <row r="651" spans="1:26" ht="19.5" customHeight="1">
      <c r="A651" s="28"/>
      <c r="B651" s="28"/>
      <c r="C651" s="28"/>
      <c r="D651" s="29"/>
      <c r="E651" s="29"/>
      <c r="F651" s="28"/>
      <c r="G651" s="28"/>
      <c r="H651" s="28"/>
      <c r="I651" s="28"/>
      <c r="J651" s="28"/>
      <c r="K651" s="28"/>
      <c r="L651" s="28"/>
      <c r="M651" s="28"/>
      <c r="N651" s="28"/>
      <c r="O651" s="28"/>
      <c r="P651" s="28"/>
      <c r="Q651" s="28"/>
      <c r="R651" s="28"/>
      <c r="S651" s="28"/>
      <c r="T651" s="28"/>
      <c r="U651" s="7"/>
      <c r="V651" s="28"/>
      <c r="W651" s="28"/>
      <c r="X651" s="2"/>
      <c r="Y651" s="2"/>
      <c r="Z651" s="2"/>
    </row>
    <row r="652" spans="1:26" ht="19.5" customHeight="1">
      <c r="A652" s="28"/>
      <c r="B652" s="28"/>
      <c r="C652" s="28"/>
      <c r="D652" s="29"/>
      <c r="E652" s="29"/>
      <c r="F652" s="28"/>
      <c r="G652" s="28"/>
      <c r="H652" s="28"/>
      <c r="I652" s="28"/>
      <c r="J652" s="28"/>
      <c r="K652" s="28"/>
      <c r="L652" s="28"/>
      <c r="M652" s="28"/>
      <c r="N652" s="28"/>
      <c r="O652" s="28"/>
      <c r="P652" s="28"/>
      <c r="Q652" s="28"/>
      <c r="R652" s="28"/>
      <c r="S652" s="28"/>
      <c r="T652" s="28"/>
      <c r="U652" s="7"/>
      <c r="V652" s="28"/>
      <c r="W652" s="28"/>
      <c r="X652" s="2"/>
      <c r="Y652" s="2"/>
      <c r="Z652" s="2"/>
    </row>
    <row r="653" spans="1:26" ht="19.5" customHeight="1">
      <c r="A653" s="28"/>
      <c r="B653" s="28"/>
      <c r="C653" s="28"/>
      <c r="D653" s="29"/>
      <c r="E653" s="29"/>
      <c r="F653" s="28"/>
      <c r="G653" s="28"/>
      <c r="H653" s="28"/>
      <c r="I653" s="28"/>
      <c r="J653" s="28"/>
      <c r="K653" s="28"/>
      <c r="L653" s="28"/>
      <c r="M653" s="28"/>
      <c r="N653" s="28"/>
      <c r="O653" s="28"/>
      <c r="P653" s="28"/>
      <c r="Q653" s="28"/>
      <c r="R653" s="28"/>
      <c r="S653" s="28"/>
      <c r="T653" s="28"/>
      <c r="U653" s="7"/>
      <c r="V653" s="28"/>
      <c r="W653" s="28"/>
      <c r="X653" s="2"/>
      <c r="Y653" s="2"/>
      <c r="Z653" s="2"/>
    </row>
    <row r="654" spans="1:26" ht="19.5" customHeight="1">
      <c r="A654" s="28"/>
      <c r="B654" s="28"/>
      <c r="C654" s="28"/>
      <c r="D654" s="29"/>
      <c r="E654" s="29"/>
      <c r="F654" s="28"/>
      <c r="G654" s="28"/>
      <c r="H654" s="28"/>
      <c r="I654" s="28"/>
      <c r="J654" s="28"/>
      <c r="K654" s="28"/>
      <c r="L654" s="28"/>
      <c r="M654" s="28"/>
      <c r="N654" s="28"/>
      <c r="O654" s="28"/>
      <c r="P654" s="28"/>
      <c r="Q654" s="28"/>
      <c r="R654" s="28"/>
      <c r="S654" s="28"/>
      <c r="T654" s="28"/>
      <c r="U654" s="7"/>
      <c r="V654" s="28"/>
      <c r="W654" s="28"/>
      <c r="X654" s="2"/>
      <c r="Y654" s="2"/>
      <c r="Z654" s="2"/>
    </row>
    <row r="655" spans="1:26" ht="19.5" customHeight="1">
      <c r="A655" s="28"/>
      <c r="B655" s="28"/>
      <c r="C655" s="28"/>
      <c r="D655" s="29"/>
      <c r="E655" s="29"/>
      <c r="F655" s="28"/>
      <c r="G655" s="28"/>
      <c r="H655" s="28"/>
      <c r="I655" s="28"/>
      <c r="J655" s="28"/>
      <c r="K655" s="28"/>
      <c r="L655" s="28"/>
      <c r="M655" s="28"/>
      <c r="N655" s="28"/>
      <c r="O655" s="28"/>
      <c r="P655" s="28"/>
      <c r="Q655" s="28"/>
      <c r="R655" s="28"/>
      <c r="S655" s="28"/>
      <c r="T655" s="28"/>
      <c r="U655" s="7"/>
      <c r="V655" s="28"/>
      <c r="W655" s="28"/>
      <c r="X655" s="2"/>
      <c r="Y655" s="2"/>
      <c r="Z655" s="2"/>
    </row>
    <row r="656" spans="1:26" ht="19.5" customHeight="1">
      <c r="A656" s="28"/>
      <c r="B656" s="28"/>
      <c r="C656" s="28"/>
      <c r="D656" s="29"/>
      <c r="E656" s="29"/>
      <c r="F656" s="28"/>
      <c r="G656" s="28"/>
      <c r="H656" s="28"/>
      <c r="I656" s="28"/>
      <c r="J656" s="28"/>
      <c r="K656" s="28"/>
      <c r="L656" s="28"/>
      <c r="M656" s="28"/>
      <c r="N656" s="28"/>
      <c r="O656" s="28"/>
      <c r="P656" s="28"/>
      <c r="Q656" s="28"/>
      <c r="R656" s="28"/>
      <c r="S656" s="28"/>
      <c r="T656" s="28"/>
      <c r="U656" s="7"/>
      <c r="V656" s="28"/>
      <c r="W656" s="28"/>
      <c r="X656" s="2"/>
      <c r="Y656" s="2"/>
      <c r="Z656" s="2"/>
    </row>
    <row r="657" spans="1:26" ht="19.5" customHeight="1">
      <c r="A657" s="28"/>
      <c r="B657" s="28"/>
      <c r="C657" s="28"/>
      <c r="D657" s="29"/>
      <c r="E657" s="29"/>
      <c r="F657" s="28"/>
      <c r="G657" s="28"/>
      <c r="H657" s="28"/>
      <c r="I657" s="28"/>
      <c r="J657" s="28"/>
      <c r="K657" s="28"/>
      <c r="L657" s="28"/>
      <c r="M657" s="28"/>
      <c r="N657" s="28"/>
      <c r="O657" s="28"/>
      <c r="P657" s="28"/>
      <c r="Q657" s="28"/>
      <c r="R657" s="28"/>
      <c r="S657" s="28"/>
      <c r="T657" s="28"/>
      <c r="U657" s="7"/>
      <c r="V657" s="28"/>
      <c r="W657" s="28"/>
      <c r="X657" s="2"/>
      <c r="Y657" s="2"/>
      <c r="Z657" s="2"/>
    </row>
    <row r="658" spans="1:26" ht="19.5" customHeight="1">
      <c r="A658" s="28"/>
      <c r="B658" s="28"/>
      <c r="C658" s="28"/>
      <c r="D658" s="29"/>
      <c r="E658" s="29"/>
      <c r="F658" s="28"/>
      <c r="G658" s="28"/>
      <c r="H658" s="28"/>
      <c r="I658" s="28"/>
      <c r="J658" s="28"/>
      <c r="K658" s="28"/>
      <c r="L658" s="28"/>
      <c r="M658" s="28"/>
      <c r="N658" s="28"/>
      <c r="O658" s="28"/>
      <c r="P658" s="28"/>
      <c r="Q658" s="28"/>
      <c r="R658" s="28"/>
      <c r="S658" s="28"/>
      <c r="T658" s="28"/>
      <c r="U658" s="7"/>
      <c r="V658" s="28"/>
      <c r="W658" s="28"/>
      <c r="X658" s="2"/>
      <c r="Y658" s="2"/>
      <c r="Z658" s="2"/>
    </row>
    <row r="659" spans="1:26" ht="19.5" customHeight="1">
      <c r="A659" s="28"/>
      <c r="B659" s="28"/>
      <c r="C659" s="28"/>
      <c r="D659" s="29"/>
      <c r="E659" s="29"/>
      <c r="F659" s="28"/>
      <c r="G659" s="28"/>
      <c r="H659" s="28"/>
      <c r="I659" s="28"/>
      <c r="J659" s="28"/>
      <c r="K659" s="28"/>
      <c r="L659" s="28"/>
      <c r="M659" s="28"/>
      <c r="N659" s="28"/>
      <c r="O659" s="28"/>
      <c r="P659" s="28"/>
      <c r="Q659" s="28"/>
      <c r="R659" s="28"/>
      <c r="S659" s="28"/>
      <c r="T659" s="28"/>
      <c r="U659" s="7"/>
      <c r="V659" s="28"/>
      <c r="W659" s="28"/>
      <c r="X659" s="2"/>
      <c r="Y659" s="2"/>
      <c r="Z659" s="2"/>
    </row>
    <row r="660" spans="1:26" ht="19.5" customHeight="1">
      <c r="A660" s="28"/>
      <c r="B660" s="28"/>
      <c r="C660" s="28"/>
      <c r="D660" s="29"/>
      <c r="E660" s="29"/>
      <c r="F660" s="28"/>
      <c r="G660" s="28"/>
      <c r="H660" s="28"/>
      <c r="I660" s="28"/>
      <c r="J660" s="28"/>
      <c r="K660" s="28"/>
      <c r="L660" s="28"/>
      <c r="M660" s="28"/>
      <c r="N660" s="28"/>
      <c r="O660" s="28"/>
      <c r="P660" s="28"/>
      <c r="Q660" s="28"/>
      <c r="R660" s="28"/>
      <c r="S660" s="28"/>
      <c r="T660" s="28"/>
      <c r="U660" s="7"/>
      <c r="V660" s="28"/>
      <c r="W660" s="28"/>
      <c r="X660" s="2"/>
      <c r="Y660" s="2"/>
      <c r="Z660" s="2"/>
    </row>
    <row r="661" spans="1:26" ht="19.5" customHeight="1">
      <c r="A661" s="28"/>
      <c r="B661" s="28"/>
      <c r="C661" s="28"/>
      <c r="D661" s="29"/>
      <c r="E661" s="29"/>
      <c r="F661" s="28"/>
      <c r="G661" s="28"/>
      <c r="H661" s="28"/>
      <c r="I661" s="28"/>
      <c r="J661" s="28"/>
      <c r="K661" s="28"/>
      <c r="L661" s="28"/>
      <c r="M661" s="28"/>
      <c r="N661" s="28"/>
      <c r="O661" s="28"/>
      <c r="P661" s="28"/>
      <c r="Q661" s="28"/>
      <c r="R661" s="28"/>
      <c r="S661" s="28"/>
      <c r="T661" s="28"/>
      <c r="U661" s="7"/>
      <c r="V661" s="28"/>
      <c r="W661" s="28"/>
      <c r="X661" s="2"/>
      <c r="Y661" s="2"/>
      <c r="Z661" s="2"/>
    </row>
    <row r="662" spans="1:26" ht="19.5" customHeight="1">
      <c r="A662" s="28"/>
      <c r="B662" s="28"/>
      <c r="C662" s="28"/>
      <c r="D662" s="29"/>
      <c r="E662" s="29"/>
      <c r="F662" s="28"/>
      <c r="G662" s="28"/>
      <c r="H662" s="28"/>
      <c r="I662" s="28"/>
      <c r="J662" s="28"/>
      <c r="K662" s="28"/>
      <c r="L662" s="28"/>
      <c r="M662" s="28"/>
      <c r="N662" s="28"/>
      <c r="O662" s="28"/>
      <c r="P662" s="28"/>
      <c r="Q662" s="28"/>
      <c r="R662" s="28"/>
      <c r="S662" s="28"/>
      <c r="T662" s="28"/>
      <c r="U662" s="7"/>
      <c r="V662" s="28"/>
      <c r="W662" s="28"/>
      <c r="X662" s="2"/>
      <c r="Y662" s="2"/>
      <c r="Z662" s="2"/>
    </row>
    <row r="663" spans="1:26" ht="19.5" customHeight="1">
      <c r="A663" s="28"/>
      <c r="B663" s="28"/>
      <c r="C663" s="28"/>
      <c r="D663" s="29"/>
      <c r="E663" s="29"/>
      <c r="F663" s="28"/>
      <c r="G663" s="28"/>
      <c r="H663" s="28"/>
      <c r="I663" s="28"/>
      <c r="J663" s="28"/>
      <c r="K663" s="28"/>
      <c r="L663" s="28"/>
      <c r="M663" s="28"/>
      <c r="N663" s="28"/>
      <c r="O663" s="28"/>
      <c r="P663" s="28"/>
      <c r="Q663" s="28"/>
      <c r="R663" s="28"/>
      <c r="S663" s="28"/>
      <c r="T663" s="28"/>
      <c r="U663" s="7"/>
      <c r="V663" s="28"/>
      <c r="W663" s="28"/>
      <c r="X663" s="2"/>
      <c r="Y663" s="2"/>
      <c r="Z663" s="2"/>
    </row>
    <row r="664" spans="1:26" ht="19.5" customHeight="1">
      <c r="A664" s="28"/>
      <c r="B664" s="28"/>
      <c r="C664" s="28"/>
      <c r="D664" s="29"/>
      <c r="E664" s="29"/>
      <c r="F664" s="28"/>
      <c r="G664" s="28"/>
      <c r="H664" s="28"/>
      <c r="I664" s="28"/>
      <c r="J664" s="28"/>
      <c r="K664" s="28"/>
      <c r="L664" s="28"/>
      <c r="M664" s="28"/>
      <c r="N664" s="28"/>
      <c r="O664" s="28"/>
      <c r="P664" s="28"/>
      <c r="Q664" s="28"/>
      <c r="R664" s="28"/>
      <c r="S664" s="28"/>
      <c r="T664" s="28"/>
      <c r="U664" s="7"/>
      <c r="V664" s="28"/>
      <c r="W664" s="28"/>
      <c r="X664" s="2"/>
      <c r="Y664" s="2"/>
      <c r="Z664" s="2"/>
    </row>
    <row r="665" spans="1:26" ht="19.5" customHeight="1">
      <c r="A665" s="28"/>
      <c r="B665" s="28"/>
      <c r="C665" s="28"/>
      <c r="D665" s="29"/>
      <c r="E665" s="29"/>
      <c r="F665" s="28"/>
      <c r="G665" s="28"/>
      <c r="H665" s="28"/>
      <c r="I665" s="28"/>
      <c r="J665" s="28"/>
      <c r="K665" s="28"/>
      <c r="L665" s="28"/>
      <c r="M665" s="28"/>
      <c r="N665" s="28"/>
      <c r="O665" s="28"/>
      <c r="P665" s="28"/>
      <c r="Q665" s="28"/>
      <c r="R665" s="28"/>
      <c r="S665" s="28"/>
      <c r="T665" s="28"/>
      <c r="U665" s="7"/>
      <c r="V665" s="28"/>
      <c r="W665" s="28"/>
      <c r="X665" s="2"/>
      <c r="Y665" s="2"/>
      <c r="Z665" s="2"/>
    </row>
    <row r="666" spans="1:26" ht="19.5" customHeight="1">
      <c r="A666" s="28"/>
      <c r="B666" s="28"/>
      <c r="C666" s="28"/>
      <c r="D666" s="29"/>
      <c r="E666" s="29"/>
      <c r="F666" s="28"/>
      <c r="G666" s="28"/>
      <c r="H666" s="28"/>
      <c r="I666" s="28"/>
      <c r="J666" s="28"/>
      <c r="K666" s="28"/>
      <c r="L666" s="28"/>
      <c r="M666" s="28"/>
      <c r="N666" s="28"/>
      <c r="O666" s="28"/>
      <c r="P666" s="28"/>
      <c r="Q666" s="28"/>
      <c r="R666" s="28"/>
      <c r="S666" s="28"/>
      <c r="T666" s="28"/>
      <c r="U666" s="7"/>
      <c r="V666" s="28"/>
      <c r="W666" s="28"/>
      <c r="X666" s="2"/>
      <c r="Y666" s="2"/>
      <c r="Z666" s="2"/>
    </row>
    <row r="667" spans="1:26" ht="19.5" customHeight="1">
      <c r="A667" s="28"/>
      <c r="B667" s="28"/>
      <c r="C667" s="28"/>
      <c r="D667" s="29"/>
      <c r="E667" s="29"/>
      <c r="F667" s="28"/>
      <c r="G667" s="28"/>
      <c r="H667" s="28"/>
      <c r="I667" s="28"/>
      <c r="J667" s="28"/>
      <c r="K667" s="28"/>
      <c r="L667" s="28"/>
      <c r="M667" s="28"/>
      <c r="N667" s="28"/>
      <c r="O667" s="28"/>
      <c r="P667" s="28"/>
      <c r="Q667" s="28"/>
      <c r="R667" s="28"/>
      <c r="S667" s="28"/>
      <c r="T667" s="28"/>
      <c r="U667" s="7"/>
      <c r="V667" s="28"/>
      <c r="W667" s="28"/>
      <c r="X667" s="2"/>
      <c r="Y667" s="2"/>
      <c r="Z667" s="2"/>
    </row>
    <row r="668" spans="1:26" ht="19.5" customHeight="1">
      <c r="A668" s="28"/>
      <c r="B668" s="28"/>
      <c r="C668" s="28"/>
      <c r="D668" s="29"/>
      <c r="E668" s="29"/>
      <c r="F668" s="28"/>
      <c r="G668" s="28"/>
      <c r="H668" s="28"/>
      <c r="I668" s="28"/>
      <c r="J668" s="28"/>
      <c r="K668" s="28"/>
      <c r="L668" s="28"/>
      <c r="M668" s="28"/>
      <c r="N668" s="28"/>
      <c r="O668" s="28"/>
      <c r="P668" s="28"/>
      <c r="Q668" s="28"/>
      <c r="R668" s="28"/>
      <c r="S668" s="28"/>
      <c r="T668" s="28"/>
      <c r="U668" s="7"/>
      <c r="V668" s="28"/>
      <c r="W668" s="28"/>
      <c r="X668" s="2"/>
      <c r="Y668" s="2"/>
      <c r="Z668" s="2"/>
    </row>
    <row r="669" spans="1:26" ht="19.5" customHeight="1">
      <c r="A669" s="28"/>
      <c r="B669" s="28"/>
      <c r="C669" s="28"/>
      <c r="D669" s="29"/>
      <c r="E669" s="29"/>
      <c r="F669" s="28"/>
      <c r="G669" s="28"/>
      <c r="H669" s="28"/>
      <c r="I669" s="28"/>
      <c r="J669" s="28"/>
      <c r="K669" s="28"/>
      <c r="L669" s="28"/>
      <c r="M669" s="28"/>
      <c r="N669" s="28"/>
      <c r="O669" s="28"/>
      <c r="P669" s="28"/>
      <c r="Q669" s="28"/>
      <c r="R669" s="28"/>
      <c r="S669" s="28"/>
      <c r="T669" s="28"/>
      <c r="U669" s="7"/>
      <c r="V669" s="28"/>
      <c r="W669" s="28"/>
      <c r="X669" s="2"/>
      <c r="Y669" s="2"/>
      <c r="Z669" s="2"/>
    </row>
    <row r="670" spans="1:26" ht="19.5" customHeight="1">
      <c r="A670" s="28"/>
      <c r="B670" s="28"/>
      <c r="C670" s="28"/>
      <c r="D670" s="29"/>
      <c r="E670" s="29"/>
      <c r="F670" s="28"/>
      <c r="G670" s="28"/>
      <c r="H670" s="28"/>
      <c r="I670" s="28"/>
      <c r="J670" s="28"/>
      <c r="K670" s="28"/>
      <c r="L670" s="28"/>
      <c r="M670" s="28"/>
      <c r="N670" s="28"/>
      <c r="O670" s="28"/>
      <c r="P670" s="28"/>
      <c r="Q670" s="28"/>
      <c r="R670" s="28"/>
      <c r="S670" s="28"/>
      <c r="T670" s="28"/>
      <c r="U670" s="7"/>
      <c r="V670" s="28"/>
      <c r="W670" s="28"/>
      <c r="X670" s="2"/>
      <c r="Y670" s="2"/>
      <c r="Z670" s="2"/>
    </row>
    <row r="671" spans="1:26" ht="19.5" customHeight="1">
      <c r="A671" s="28"/>
      <c r="B671" s="28"/>
      <c r="C671" s="28"/>
      <c r="D671" s="29"/>
      <c r="E671" s="29"/>
      <c r="F671" s="28"/>
      <c r="G671" s="28"/>
      <c r="H671" s="28"/>
      <c r="I671" s="28"/>
      <c r="J671" s="28"/>
      <c r="K671" s="28"/>
      <c r="L671" s="28"/>
      <c r="M671" s="28"/>
      <c r="N671" s="28"/>
      <c r="O671" s="28"/>
      <c r="P671" s="28"/>
      <c r="Q671" s="28"/>
      <c r="R671" s="28"/>
      <c r="S671" s="28"/>
      <c r="T671" s="28"/>
      <c r="U671" s="7"/>
      <c r="V671" s="28"/>
      <c r="W671" s="28"/>
      <c r="X671" s="2"/>
      <c r="Y671" s="2"/>
      <c r="Z671" s="2"/>
    </row>
    <row r="672" spans="1:26" ht="19.5" customHeight="1">
      <c r="A672" s="28"/>
      <c r="B672" s="28"/>
      <c r="C672" s="28"/>
      <c r="D672" s="29"/>
      <c r="E672" s="29"/>
      <c r="F672" s="28"/>
      <c r="G672" s="28"/>
      <c r="H672" s="28"/>
      <c r="I672" s="28"/>
      <c r="J672" s="28"/>
      <c r="K672" s="28"/>
      <c r="L672" s="28"/>
      <c r="M672" s="28"/>
      <c r="N672" s="28"/>
      <c r="O672" s="28"/>
      <c r="P672" s="28"/>
      <c r="Q672" s="28"/>
      <c r="R672" s="28"/>
      <c r="S672" s="28"/>
      <c r="T672" s="28"/>
      <c r="U672" s="7"/>
      <c r="V672" s="28"/>
      <c r="W672" s="28"/>
      <c r="X672" s="2"/>
      <c r="Y672" s="2"/>
      <c r="Z672" s="2"/>
    </row>
    <row r="673" spans="1:26" ht="19.5" customHeight="1">
      <c r="A673" s="28"/>
      <c r="B673" s="28"/>
      <c r="C673" s="28"/>
      <c r="D673" s="29"/>
      <c r="E673" s="29"/>
      <c r="F673" s="28"/>
      <c r="G673" s="28"/>
      <c r="H673" s="28"/>
      <c r="I673" s="28"/>
      <c r="J673" s="28"/>
      <c r="K673" s="28"/>
      <c r="L673" s="28"/>
      <c r="M673" s="28"/>
      <c r="N673" s="28"/>
      <c r="O673" s="28"/>
      <c r="P673" s="28"/>
      <c r="Q673" s="28"/>
      <c r="R673" s="28"/>
      <c r="S673" s="28"/>
      <c r="T673" s="28"/>
      <c r="U673" s="7"/>
      <c r="V673" s="28"/>
      <c r="W673" s="28"/>
      <c r="X673" s="2"/>
      <c r="Y673" s="2"/>
      <c r="Z673" s="2"/>
    </row>
    <row r="674" spans="1:26" ht="19.5" customHeight="1">
      <c r="A674" s="28"/>
      <c r="B674" s="28"/>
      <c r="C674" s="28"/>
      <c r="D674" s="29"/>
      <c r="E674" s="29"/>
      <c r="F674" s="28"/>
      <c r="G674" s="28"/>
      <c r="H674" s="28"/>
      <c r="I674" s="28"/>
      <c r="J674" s="28"/>
      <c r="K674" s="28"/>
      <c r="L674" s="28"/>
      <c r="M674" s="28"/>
      <c r="N674" s="28"/>
      <c r="O674" s="28"/>
      <c r="P674" s="28"/>
      <c r="Q674" s="28"/>
      <c r="R674" s="28"/>
      <c r="S674" s="28"/>
      <c r="T674" s="28"/>
      <c r="U674" s="7"/>
      <c r="V674" s="28"/>
      <c r="W674" s="28"/>
      <c r="X674" s="2"/>
      <c r="Y674" s="2"/>
      <c r="Z674" s="2"/>
    </row>
    <row r="675" spans="1:26" ht="19.5" customHeight="1">
      <c r="A675" s="28"/>
      <c r="B675" s="28"/>
      <c r="C675" s="28"/>
      <c r="D675" s="29"/>
      <c r="E675" s="29"/>
      <c r="F675" s="28"/>
      <c r="G675" s="28"/>
      <c r="H675" s="28"/>
      <c r="I675" s="28"/>
      <c r="J675" s="28"/>
      <c r="K675" s="28"/>
      <c r="L675" s="28"/>
      <c r="M675" s="28"/>
      <c r="N675" s="28"/>
      <c r="O675" s="28"/>
      <c r="P675" s="28"/>
      <c r="Q675" s="28"/>
      <c r="R675" s="28"/>
      <c r="S675" s="28"/>
      <c r="T675" s="28"/>
      <c r="U675" s="7"/>
      <c r="V675" s="28"/>
      <c r="W675" s="28"/>
      <c r="X675" s="2"/>
      <c r="Y675" s="2"/>
      <c r="Z675" s="2"/>
    </row>
    <row r="676" spans="1:26" ht="19.5" customHeight="1">
      <c r="A676" s="28"/>
      <c r="B676" s="28"/>
      <c r="C676" s="28"/>
      <c r="D676" s="29"/>
      <c r="E676" s="29"/>
      <c r="F676" s="28"/>
      <c r="G676" s="28"/>
      <c r="H676" s="28"/>
      <c r="I676" s="28"/>
      <c r="J676" s="28"/>
      <c r="K676" s="28"/>
      <c r="L676" s="28"/>
      <c r="M676" s="28"/>
      <c r="N676" s="28"/>
      <c r="O676" s="28"/>
      <c r="P676" s="28"/>
      <c r="Q676" s="28"/>
      <c r="R676" s="28"/>
      <c r="S676" s="28"/>
      <c r="T676" s="28"/>
      <c r="U676" s="7"/>
      <c r="V676" s="28"/>
      <c r="W676" s="28"/>
      <c r="X676" s="2"/>
      <c r="Y676" s="2"/>
      <c r="Z676" s="2"/>
    </row>
    <row r="677" spans="1:26" ht="19.5" customHeight="1">
      <c r="A677" s="28"/>
      <c r="B677" s="28"/>
      <c r="C677" s="28"/>
      <c r="D677" s="29"/>
      <c r="E677" s="29"/>
      <c r="F677" s="28"/>
      <c r="G677" s="28"/>
      <c r="H677" s="28"/>
      <c r="I677" s="28"/>
      <c r="J677" s="28"/>
      <c r="K677" s="28"/>
      <c r="L677" s="28"/>
      <c r="M677" s="28"/>
      <c r="N677" s="28"/>
      <c r="O677" s="28"/>
      <c r="P677" s="28"/>
      <c r="Q677" s="28"/>
      <c r="R677" s="28"/>
      <c r="S677" s="28"/>
      <c r="T677" s="28"/>
      <c r="U677" s="7"/>
      <c r="V677" s="28"/>
      <c r="W677" s="28"/>
      <c r="X677" s="2"/>
      <c r="Y677" s="2"/>
      <c r="Z677" s="2"/>
    </row>
    <row r="678" spans="1:26" ht="19.5" customHeight="1">
      <c r="A678" s="28"/>
      <c r="B678" s="28"/>
      <c r="C678" s="28"/>
      <c r="D678" s="29"/>
      <c r="E678" s="29"/>
      <c r="F678" s="28"/>
      <c r="G678" s="28"/>
      <c r="H678" s="28"/>
      <c r="I678" s="28"/>
      <c r="J678" s="28"/>
      <c r="K678" s="28"/>
      <c r="L678" s="28"/>
      <c r="M678" s="28"/>
      <c r="N678" s="28"/>
      <c r="O678" s="28"/>
      <c r="P678" s="28"/>
      <c r="Q678" s="28"/>
      <c r="R678" s="28"/>
      <c r="S678" s="28"/>
      <c r="T678" s="28"/>
      <c r="U678" s="7"/>
      <c r="V678" s="28"/>
      <c r="W678" s="28"/>
      <c r="X678" s="2"/>
      <c r="Y678" s="2"/>
      <c r="Z678" s="2"/>
    </row>
    <row r="679" spans="1:26" ht="19.5" customHeight="1">
      <c r="A679" s="28"/>
      <c r="B679" s="28"/>
      <c r="C679" s="28"/>
      <c r="D679" s="29"/>
      <c r="E679" s="29"/>
      <c r="F679" s="28"/>
      <c r="G679" s="28"/>
      <c r="H679" s="28"/>
      <c r="I679" s="28"/>
      <c r="J679" s="28"/>
      <c r="K679" s="28"/>
      <c r="L679" s="28"/>
      <c r="M679" s="28"/>
      <c r="N679" s="28"/>
      <c r="O679" s="28"/>
      <c r="P679" s="28"/>
      <c r="Q679" s="28"/>
      <c r="R679" s="28"/>
      <c r="S679" s="28"/>
      <c r="T679" s="28"/>
      <c r="U679" s="7"/>
      <c r="V679" s="28"/>
      <c r="W679" s="28"/>
      <c r="X679" s="2"/>
      <c r="Y679" s="2"/>
      <c r="Z679" s="2"/>
    </row>
    <row r="680" spans="1:26" ht="19.5" customHeight="1">
      <c r="A680" s="28"/>
      <c r="B680" s="28"/>
      <c r="C680" s="28"/>
      <c r="D680" s="29"/>
      <c r="E680" s="29"/>
      <c r="F680" s="28"/>
      <c r="G680" s="28"/>
      <c r="H680" s="28"/>
      <c r="I680" s="28"/>
      <c r="J680" s="28"/>
      <c r="K680" s="28"/>
      <c r="L680" s="28"/>
      <c r="M680" s="28"/>
      <c r="N680" s="28"/>
      <c r="O680" s="28"/>
      <c r="P680" s="28"/>
      <c r="Q680" s="28"/>
      <c r="R680" s="28"/>
      <c r="S680" s="28"/>
      <c r="T680" s="28"/>
      <c r="U680" s="7"/>
      <c r="V680" s="28"/>
      <c r="W680" s="28"/>
      <c r="X680" s="2"/>
      <c r="Y680" s="2"/>
      <c r="Z680" s="2"/>
    </row>
    <row r="681" spans="1:26" ht="19.5" customHeight="1">
      <c r="A681" s="28"/>
      <c r="B681" s="28"/>
      <c r="C681" s="28"/>
      <c r="D681" s="29"/>
      <c r="E681" s="29"/>
      <c r="F681" s="28"/>
      <c r="G681" s="28"/>
      <c r="H681" s="28"/>
      <c r="I681" s="28"/>
      <c r="J681" s="28"/>
      <c r="K681" s="28"/>
      <c r="L681" s="28"/>
      <c r="M681" s="28"/>
      <c r="N681" s="28"/>
      <c r="O681" s="28"/>
      <c r="P681" s="28"/>
      <c r="Q681" s="28"/>
      <c r="R681" s="28"/>
      <c r="S681" s="28"/>
      <c r="T681" s="28"/>
      <c r="U681" s="7"/>
      <c r="V681" s="28"/>
      <c r="W681" s="28"/>
      <c r="X681" s="2"/>
      <c r="Y681" s="2"/>
      <c r="Z681" s="2"/>
    </row>
    <row r="682" spans="1:26" ht="19.5" customHeight="1">
      <c r="A682" s="28"/>
      <c r="B682" s="28"/>
      <c r="C682" s="28"/>
      <c r="D682" s="29"/>
      <c r="E682" s="29"/>
      <c r="F682" s="28"/>
      <c r="G682" s="28"/>
      <c r="H682" s="28"/>
      <c r="I682" s="28"/>
      <c r="J682" s="28"/>
      <c r="K682" s="28"/>
      <c r="L682" s="28"/>
      <c r="M682" s="28"/>
      <c r="N682" s="28"/>
      <c r="O682" s="28"/>
      <c r="P682" s="28"/>
      <c r="Q682" s="28"/>
      <c r="R682" s="28"/>
      <c r="S682" s="28"/>
      <c r="T682" s="28"/>
      <c r="U682" s="7"/>
      <c r="V682" s="28"/>
      <c r="W682" s="28"/>
      <c r="X682" s="2"/>
      <c r="Y682" s="2"/>
      <c r="Z682" s="2"/>
    </row>
    <row r="683" spans="1:26" ht="19.5" customHeight="1">
      <c r="A683" s="28"/>
      <c r="B683" s="28"/>
      <c r="C683" s="28"/>
      <c r="D683" s="29"/>
      <c r="E683" s="29"/>
      <c r="F683" s="28"/>
      <c r="G683" s="28"/>
      <c r="H683" s="28"/>
      <c r="I683" s="28"/>
      <c r="J683" s="28"/>
      <c r="K683" s="28"/>
      <c r="L683" s="28"/>
      <c r="M683" s="28"/>
      <c r="N683" s="28"/>
      <c r="O683" s="28"/>
      <c r="P683" s="28"/>
      <c r="Q683" s="28"/>
      <c r="R683" s="28"/>
      <c r="S683" s="28"/>
      <c r="T683" s="28"/>
      <c r="U683" s="7"/>
      <c r="V683" s="28"/>
      <c r="W683" s="28"/>
      <c r="X683" s="2"/>
      <c r="Y683" s="2"/>
      <c r="Z683" s="2"/>
    </row>
    <row r="684" spans="1:26" ht="19.5" customHeight="1">
      <c r="A684" s="28"/>
      <c r="B684" s="28"/>
      <c r="C684" s="28"/>
      <c r="D684" s="29"/>
      <c r="E684" s="29"/>
      <c r="F684" s="28"/>
      <c r="G684" s="28"/>
      <c r="H684" s="28"/>
      <c r="I684" s="28"/>
      <c r="J684" s="28"/>
      <c r="K684" s="28"/>
      <c r="L684" s="28"/>
      <c r="M684" s="28"/>
      <c r="N684" s="28"/>
      <c r="O684" s="28"/>
      <c r="P684" s="28"/>
      <c r="Q684" s="28"/>
      <c r="R684" s="28"/>
      <c r="S684" s="28"/>
      <c r="T684" s="28"/>
      <c r="U684" s="7"/>
      <c r="V684" s="28"/>
      <c r="W684" s="28"/>
      <c r="X684" s="2"/>
      <c r="Y684" s="2"/>
      <c r="Z684" s="2"/>
    </row>
    <row r="685" spans="1:26" ht="19.5" customHeight="1">
      <c r="A685" s="28"/>
      <c r="B685" s="28"/>
      <c r="C685" s="28"/>
      <c r="D685" s="29"/>
      <c r="E685" s="29"/>
      <c r="F685" s="28"/>
      <c r="G685" s="28"/>
      <c r="H685" s="28"/>
      <c r="I685" s="28"/>
      <c r="J685" s="28"/>
      <c r="K685" s="28"/>
      <c r="L685" s="28"/>
      <c r="M685" s="28"/>
      <c r="N685" s="28"/>
      <c r="O685" s="28"/>
      <c r="P685" s="28"/>
      <c r="Q685" s="28"/>
      <c r="R685" s="28"/>
      <c r="S685" s="28"/>
      <c r="T685" s="28"/>
      <c r="U685" s="7"/>
      <c r="V685" s="28"/>
      <c r="W685" s="28"/>
      <c r="X685" s="2"/>
      <c r="Y685" s="2"/>
      <c r="Z685" s="2"/>
    </row>
    <row r="686" spans="1:26" ht="19.5" customHeight="1">
      <c r="A686" s="28"/>
      <c r="B686" s="28"/>
      <c r="C686" s="28"/>
      <c r="D686" s="29"/>
      <c r="E686" s="29"/>
      <c r="F686" s="28"/>
      <c r="G686" s="28"/>
      <c r="H686" s="28"/>
      <c r="I686" s="28"/>
      <c r="J686" s="28"/>
      <c r="K686" s="28"/>
      <c r="L686" s="28"/>
      <c r="M686" s="28"/>
      <c r="N686" s="28"/>
      <c r="O686" s="28"/>
      <c r="P686" s="28"/>
      <c r="Q686" s="28"/>
      <c r="R686" s="28"/>
      <c r="S686" s="28"/>
      <c r="T686" s="28"/>
      <c r="U686" s="7"/>
      <c r="V686" s="28"/>
      <c r="W686" s="28"/>
      <c r="X686" s="2"/>
      <c r="Y686" s="2"/>
      <c r="Z686" s="2"/>
    </row>
    <row r="687" spans="1:26" ht="19.5" customHeight="1">
      <c r="A687" s="28"/>
      <c r="B687" s="28"/>
      <c r="C687" s="28"/>
      <c r="D687" s="29"/>
      <c r="E687" s="29"/>
      <c r="F687" s="28"/>
      <c r="G687" s="28"/>
      <c r="H687" s="28"/>
      <c r="I687" s="28"/>
      <c r="J687" s="28"/>
      <c r="K687" s="28"/>
      <c r="L687" s="28"/>
      <c r="M687" s="28"/>
      <c r="N687" s="28"/>
      <c r="O687" s="28"/>
      <c r="P687" s="28"/>
      <c r="Q687" s="28"/>
      <c r="R687" s="28"/>
      <c r="S687" s="28"/>
      <c r="T687" s="28"/>
      <c r="U687" s="7"/>
      <c r="V687" s="28"/>
      <c r="W687" s="28"/>
      <c r="X687" s="2"/>
      <c r="Y687" s="2"/>
      <c r="Z687" s="2"/>
    </row>
    <row r="688" spans="1:26" ht="19.5" customHeight="1">
      <c r="A688" s="28"/>
      <c r="B688" s="28"/>
      <c r="C688" s="28"/>
      <c r="D688" s="29"/>
      <c r="E688" s="29"/>
      <c r="F688" s="28"/>
      <c r="G688" s="28"/>
      <c r="H688" s="28"/>
      <c r="I688" s="28"/>
      <c r="J688" s="28"/>
      <c r="K688" s="28"/>
      <c r="L688" s="28"/>
      <c r="M688" s="28"/>
      <c r="N688" s="28"/>
      <c r="O688" s="28"/>
      <c r="P688" s="28"/>
      <c r="Q688" s="28"/>
      <c r="R688" s="28"/>
      <c r="S688" s="28"/>
      <c r="T688" s="28"/>
      <c r="U688" s="7"/>
      <c r="V688" s="28"/>
      <c r="W688" s="28"/>
      <c r="X688" s="2"/>
      <c r="Y688" s="2"/>
      <c r="Z688" s="2"/>
    </row>
    <row r="689" spans="1:26" ht="19.5" customHeight="1">
      <c r="A689" s="28"/>
      <c r="B689" s="28"/>
      <c r="C689" s="28"/>
      <c r="D689" s="29"/>
      <c r="E689" s="29"/>
      <c r="F689" s="28"/>
      <c r="G689" s="28"/>
      <c r="H689" s="28"/>
      <c r="I689" s="28"/>
      <c r="J689" s="28"/>
      <c r="K689" s="28"/>
      <c r="L689" s="28"/>
      <c r="M689" s="28"/>
      <c r="N689" s="28"/>
      <c r="O689" s="28"/>
      <c r="P689" s="28"/>
      <c r="Q689" s="28"/>
      <c r="R689" s="28"/>
      <c r="S689" s="28"/>
      <c r="T689" s="28"/>
      <c r="U689" s="7"/>
      <c r="V689" s="28"/>
      <c r="W689" s="28"/>
      <c r="X689" s="2"/>
      <c r="Y689" s="2"/>
      <c r="Z689" s="2"/>
    </row>
    <row r="690" spans="1:26" ht="19.5" customHeight="1">
      <c r="A690" s="28"/>
      <c r="B690" s="28"/>
      <c r="C690" s="28"/>
      <c r="D690" s="29"/>
      <c r="E690" s="29"/>
      <c r="F690" s="28"/>
      <c r="G690" s="28"/>
      <c r="H690" s="28"/>
      <c r="I690" s="28"/>
      <c r="J690" s="28"/>
      <c r="K690" s="28"/>
      <c r="L690" s="28"/>
      <c r="M690" s="28"/>
      <c r="N690" s="28"/>
      <c r="O690" s="28"/>
      <c r="P690" s="28"/>
      <c r="Q690" s="28"/>
      <c r="R690" s="28"/>
      <c r="S690" s="28"/>
      <c r="T690" s="28"/>
      <c r="U690" s="7"/>
      <c r="V690" s="28"/>
      <c r="W690" s="28"/>
      <c r="X690" s="2"/>
      <c r="Y690" s="2"/>
      <c r="Z690" s="2"/>
    </row>
    <row r="691" spans="1:26" ht="19.5" customHeight="1">
      <c r="A691" s="28"/>
      <c r="B691" s="28"/>
      <c r="C691" s="28"/>
      <c r="D691" s="29"/>
      <c r="E691" s="29"/>
      <c r="F691" s="28"/>
      <c r="G691" s="28"/>
      <c r="H691" s="28"/>
      <c r="I691" s="28"/>
      <c r="J691" s="28"/>
      <c r="K691" s="28"/>
      <c r="L691" s="28"/>
      <c r="M691" s="28"/>
      <c r="N691" s="28"/>
      <c r="O691" s="28"/>
      <c r="P691" s="28"/>
      <c r="Q691" s="28"/>
      <c r="R691" s="28"/>
      <c r="S691" s="28"/>
      <c r="T691" s="28"/>
      <c r="U691" s="7"/>
      <c r="V691" s="28"/>
      <c r="W691" s="28"/>
      <c r="X691" s="2"/>
      <c r="Y691" s="2"/>
      <c r="Z691" s="2"/>
    </row>
    <row r="692" spans="1:26" ht="19.5" customHeight="1">
      <c r="A692" s="28"/>
      <c r="B692" s="28"/>
      <c r="C692" s="28"/>
      <c r="D692" s="29"/>
      <c r="E692" s="29"/>
      <c r="F692" s="28"/>
      <c r="G692" s="28"/>
      <c r="H692" s="28"/>
      <c r="I692" s="28"/>
      <c r="J692" s="28"/>
      <c r="K692" s="28"/>
      <c r="L692" s="28"/>
      <c r="M692" s="28"/>
      <c r="N692" s="28"/>
      <c r="O692" s="28"/>
      <c r="P692" s="28"/>
      <c r="Q692" s="28"/>
      <c r="R692" s="28"/>
      <c r="S692" s="28"/>
      <c r="T692" s="28"/>
      <c r="U692" s="7"/>
      <c r="V692" s="28"/>
      <c r="W692" s="28"/>
      <c r="X692" s="2"/>
      <c r="Y692" s="2"/>
      <c r="Z692" s="2"/>
    </row>
    <row r="693" spans="1:26" ht="19.5" customHeight="1">
      <c r="A693" s="28"/>
      <c r="B693" s="28"/>
      <c r="C693" s="28"/>
      <c r="D693" s="29"/>
      <c r="E693" s="29"/>
      <c r="F693" s="28"/>
      <c r="G693" s="28"/>
      <c r="H693" s="28"/>
      <c r="I693" s="28"/>
      <c r="J693" s="28"/>
      <c r="K693" s="28"/>
      <c r="L693" s="28"/>
      <c r="M693" s="28"/>
      <c r="N693" s="28"/>
      <c r="O693" s="28"/>
      <c r="P693" s="28"/>
      <c r="Q693" s="28"/>
      <c r="R693" s="28"/>
      <c r="S693" s="28"/>
      <c r="T693" s="28"/>
      <c r="U693" s="7"/>
      <c r="V693" s="28"/>
      <c r="W693" s="28"/>
      <c r="X693" s="2"/>
      <c r="Y693" s="2"/>
      <c r="Z693" s="2"/>
    </row>
    <row r="694" spans="1:26" ht="19.5" customHeight="1">
      <c r="A694" s="28"/>
      <c r="B694" s="28"/>
      <c r="C694" s="28"/>
      <c r="D694" s="29"/>
      <c r="E694" s="29"/>
      <c r="F694" s="28"/>
      <c r="G694" s="28"/>
      <c r="H694" s="28"/>
      <c r="I694" s="28"/>
      <c r="J694" s="28"/>
      <c r="K694" s="28"/>
      <c r="L694" s="28"/>
      <c r="M694" s="28"/>
      <c r="N694" s="28"/>
      <c r="O694" s="28"/>
      <c r="P694" s="28"/>
      <c r="Q694" s="28"/>
      <c r="R694" s="28"/>
      <c r="S694" s="28"/>
      <c r="T694" s="28"/>
      <c r="U694" s="7"/>
      <c r="V694" s="28"/>
      <c r="W694" s="28"/>
      <c r="X694" s="2"/>
      <c r="Y694" s="2"/>
      <c r="Z694" s="2"/>
    </row>
    <row r="695" spans="1:26" ht="19.5" customHeight="1">
      <c r="A695" s="28"/>
      <c r="B695" s="28"/>
      <c r="C695" s="28"/>
      <c r="D695" s="29"/>
      <c r="E695" s="29"/>
      <c r="F695" s="28"/>
      <c r="G695" s="28"/>
      <c r="H695" s="28"/>
      <c r="I695" s="28"/>
      <c r="J695" s="28"/>
      <c r="K695" s="28"/>
      <c r="L695" s="28"/>
      <c r="M695" s="28"/>
      <c r="N695" s="28"/>
      <c r="O695" s="28"/>
      <c r="P695" s="28"/>
      <c r="Q695" s="28"/>
      <c r="R695" s="28"/>
      <c r="S695" s="28"/>
      <c r="T695" s="28"/>
      <c r="U695" s="7"/>
      <c r="V695" s="28"/>
      <c r="W695" s="28"/>
      <c r="X695" s="2"/>
      <c r="Y695" s="2"/>
      <c r="Z695" s="2"/>
    </row>
    <row r="696" spans="1:26" ht="19.5" customHeight="1">
      <c r="A696" s="28"/>
      <c r="B696" s="28"/>
      <c r="C696" s="28"/>
      <c r="D696" s="29"/>
      <c r="E696" s="29"/>
      <c r="F696" s="28"/>
      <c r="G696" s="28"/>
      <c r="H696" s="28"/>
      <c r="I696" s="28"/>
      <c r="J696" s="28"/>
      <c r="K696" s="28"/>
      <c r="L696" s="28"/>
      <c r="M696" s="28"/>
      <c r="N696" s="28"/>
      <c r="O696" s="28"/>
      <c r="P696" s="28"/>
      <c r="Q696" s="28"/>
      <c r="R696" s="28"/>
      <c r="S696" s="28"/>
      <c r="T696" s="28"/>
      <c r="U696" s="7"/>
      <c r="V696" s="28"/>
      <c r="W696" s="28"/>
      <c r="X696" s="2"/>
      <c r="Y696" s="2"/>
      <c r="Z696" s="2"/>
    </row>
    <row r="697" spans="1:26" ht="19.5" customHeight="1">
      <c r="A697" s="28"/>
      <c r="B697" s="28"/>
      <c r="C697" s="28"/>
      <c r="D697" s="29"/>
      <c r="E697" s="29"/>
      <c r="F697" s="28"/>
      <c r="G697" s="28"/>
      <c r="H697" s="28"/>
      <c r="I697" s="28"/>
      <c r="J697" s="28"/>
      <c r="K697" s="28"/>
      <c r="L697" s="28"/>
      <c r="M697" s="28"/>
      <c r="N697" s="28"/>
      <c r="O697" s="28"/>
      <c r="P697" s="28"/>
      <c r="Q697" s="28"/>
      <c r="R697" s="28"/>
      <c r="S697" s="28"/>
      <c r="T697" s="28"/>
      <c r="U697" s="7"/>
      <c r="V697" s="28"/>
      <c r="W697" s="28"/>
      <c r="X697" s="2"/>
      <c r="Y697" s="2"/>
      <c r="Z697" s="2"/>
    </row>
    <row r="698" spans="1:26" ht="19.5" customHeight="1">
      <c r="A698" s="28"/>
      <c r="B698" s="28"/>
      <c r="C698" s="28"/>
      <c r="D698" s="29"/>
      <c r="E698" s="29"/>
      <c r="F698" s="28"/>
      <c r="G698" s="28"/>
      <c r="H698" s="28"/>
      <c r="I698" s="28"/>
      <c r="J698" s="28"/>
      <c r="K698" s="28"/>
      <c r="L698" s="28"/>
      <c r="M698" s="28"/>
      <c r="N698" s="28"/>
      <c r="O698" s="28"/>
      <c r="P698" s="28"/>
      <c r="Q698" s="28"/>
      <c r="R698" s="28"/>
      <c r="S698" s="28"/>
      <c r="T698" s="28"/>
      <c r="U698" s="7"/>
      <c r="V698" s="28"/>
      <c r="W698" s="28"/>
      <c r="X698" s="2"/>
      <c r="Y698" s="2"/>
      <c r="Z698" s="2"/>
    </row>
    <row r="699" spans="1:26" ht="19.5" customHeight="1">
      <c r="A699" s="28"/>
      <c r="B699" s="28"/>
      <c r="C699" s="28"/>
      <c r="D699" s="29"/>
      <c r="E699" s="29"/>
      <c r="F699" s="28"/>
      <c r="G699" s="28"/>
      <c r="H699" s="28"/>
      <c r="I699" s="28"/>
      <c r="J699" s="28"/>
      <c r="K699" s="28"/>
      <c r="L699" s="28"/>
      <c r="M699" s="28"/>
      <c r="N699" s="28"/>
      <c r="O699" s="28"/>
      <c r="P699" s="28"/>
      <c r="Q699" s="28"/>
      <c r="R699" s="28"/>
      <c r="S699" s="28"/>
      <c r="T699" s="28"/>
      <c r="U699" s="7"/>
      <c r="V699" s="28"/>
      <c r="W699" s="28"/>
      <c r="X699" s="2"/>
      <c r="Y699" s="2"/>
      <c r="Z699" s="2"/>
    </row>
    <row r="700" spans="1:26" ht="19.5" customHeight="1">
      <c r="A700" s="28"/>
      <c r="B700" s="28"/>
      <c r="C700" s="28"/>
      <c r="D700" s="29"/>
      <c r="E700" s="29"/>
      <c r="F700" s="28"/>
      <c r="G700" s="28"/>
      <c r="H700" s="28"/>
      <c r="I700" s="28"/>
      <c r="J700" s="28"/>
      <c r="K700" s="28"/>
      <c r="L700" s="28"/>
      <c r="M700" s="28"/>
      <c r="N700" s="28"/>
      <c r="O700" s="28"/>
      <c r="P700" s="28"/>
      <c r="Q700" s="28"/>
      <c r="R700" s="28"/>
      <c r="S700" s="28"/>
      <c r="T700" s="28"/>
      <c r="U700" s="7"/>
      <c r="V700" s="28"/>
      <c r="W700" s="28"/>
      <c r="X700" s="2"/>
      <c r="Y700" s="2"/>
      <c r="Z700" s="2"/>
    </row>
    <row r="701" spans="1:26" ht="19.5" customHeight="1">
      <c r="A701" s="28"/>
      <c r="B701" s="28"/>
      <c r="C701" s="28"/>
      <c r="D701" s="29"/>
      <c r="E701" s="29"/>
      <c r="F701" s="28"/>
      <c r="G701" s="28"/>
      <c r="H701" s="28"/>
      <c r="I701" s="28"/>
      <c r="J701" s="28"/>
      <c r="K701" s="28"/>
      <c r="L701" s="28"/>
      <c r="M701" s="28"/>
      <c r="N701" s="28"/>
      <c r="O701" s="28"/>
      <c r="P701" s="28"/>
      <c r="Q701" s="28"/>
      <c r="R701" s="28"/>
      <c r="S701" s="28"/>
      <c r="T701" s="28"/>
      <c r="U701" s="7"/>
      <c r="V701" s="28"/>
      <c r="W701" s="28"/>
      <c r="X701" s="2"/>
      <c r="Y701" s="2"/>
      <c r="Z701" s="2"/>
    </row>
    <row r="702" spans="1:26" ht="19.5" customHeight="1">
      <c r="A702" s="28"/>
      <c r="B702" s="28"/>
      <c r="C702" s="28"/>
      <c r="D702" s="29"/>
      <c r="E702" s="29"/>
      <c r="F702" s="28"/>
      <c r="G702" s="28"/>
      <c r="H702" s="28"/>
      <c r="I702" s="28"/>
      <c r="J702" s="28"/>
      <c r="K702" s="28"/>
      <c r="L702" s="28"/>
      <c r="M702" s="28"/>
      <c r="N702" s="28"/>
      <c r="O702" s="28"/>
      <c r="P702" s="28"/>
      <c r="Q702" s="28"/>
      <c r="R702" s="28"/>
      <c r="S702" s="28"/>
      <c r="T702" s="28"/>
      <c r="U702" s="7"/>
      <c r="V702" s="28"/>
      <c r="W702" s="28"/>
      <c r="X702" s="2"/>
      <c r="Y702" s="2"/>
      <c r="Z702" s="2"/>
    </row>
    <row r="703" spans="1:26" ht="19.5" customHeight="1">
      <c r="A703" s="28"/>
      <c r="B703" s="28"/>
      <c r="C703" s="28"/>
      <c r="D703" s="29"/>
      <c r="E703" s="29"/>
      <c r="F703" s="28"/>
      <c r="G703" s="28"/>
      <c r="H703" s="28"/>
      <c r="I703" s="28"/>
      <c r="J703" s="28"/>
      <c r="K703" s="28"/>
      <c r="L703" s="28"/>
      <c r="M703" s="28"/>
      <c r="N703" s="28"/>
      <c r="O703" s="28"/>
      <c r="P703" s="28"/>
      <c r="Q703" s="28"/>
      <c r="R703" s="28"/>
      <c r="S703" s="28"/>
      <c r="T703" s="28"/>
      <c r="U703" s="7"/>
      <c r="V703" s="28"/>
      <c r="W703" s="28"/>
      <c r="X703" s="2"/>
      <c r="Y703" s="2"/>
      <c r="Z703" s="2"/>
    </row>
    <row r="704" spans="1:26" ht="19.5" customHeight="1">
      <c r="A704" s="28"/>
      <c r="B704" s="28"/>
      <c r="C704" s="28"/>
      <c r="D704" s="29"/>
      <c r="E704" s="29"/>
      <c r="F704" s="28"/>
      <c r="G704" s="28"/>
      <c r="H704" s="28"/>
      <c r="I704" s="28"/>
      <c r="J704" s="28"/>
      <c r="K704" s="28"/>
      <c r="L704" s="28"/>
      <c r="M704" s="28"/>
      <c r="N704" s="28"/>
      <c r="O704" s="28"/>
      <c r="P704" s="28"/>
      <c r="Q704" s="28"/>
      <c r="R704" s="28"/>
      <c r="S704" s="28"/>
      <c r="T704" s="28"/>
      <c r="U704" s="7"/>
      <c r="V704" s="28"/>
      <c r="W704" s="28"/>
      <c r="X704" s="2"/>
      <c r="Y704" s="2"/>
      <c r="Z704" s="2"/>
    </row>
    <row r="705" spans="1:26" ht="19.5" customHeight="1">
      <c r="A705" s="28"/>
      <c r="B705" s="28"/>
      <c r="C705" s="28"/>
      <c r="D705" s="29"/>
      <c r="E705" s="29"/>
      <c r="F705" s="28"/>
      <c r="G705" s="28"/>
      <c r="H705" s="28"/>
      <c r="I705" s="28"/>
      <c r="J705" s="28"/>
      <c r="K705" s="28"/>
      <c r="L705" s="28"/>
      <c r="M705" s="28"/>
      <c r="N705" s="28"/>
      <c r="O705" s="28"/>
      <c r="P705" s="28"/>
      <c r="Q705" s="28"/>
      <c r="R705" s="28"/>
      <c r="S705" s="28"/>
      <c r="T705" s="28"/>
      <c r="U705" s="7"/>
      <c r="V705" s="28"/>
      <c r="W705" s="28"/>
      <c r="X705" s="2"/>
      <c r="Y705" s="2"/>
      <c r="Z705" s="2"/>
    </row>
    <row r="706" spans="1:26" ht="19.5" customHeight="1">
      <c r="A706" s="28"/>
      <c r="B706" s="28"/>
      <c r="C706" s="28"/>
      <c r="D706" s="29"/>
      <c r="E706" s="29"/>
      <c r="F706" s="28"/>
      <c r="G706" s="28"/>
      <c r="H706" s="28"/>
      <c r="I706" s="28"/>
      <c r="J706" s="28"/>
      <c r="K706" s="28"/>
      <c r="L706" s="28"/>
      <c r="M706" s="28"/>
      <c r="N706" s="28"/>
      <c r="O706" s="28"/>
      <c r="P706" s="28"/>
      <c r="Q706" s="28"/>
      <c r="R706" s="28"/>
      <c r="S706" s="28"/>
      <c r="T706" s="28"/>
      <c r="U706" s="7"/>
      <c r="V706" s="28"/>
      <c r="W706" s="28"/>
      <c r="X706" s="2"/>
      <c r="Y706" s="2"/>
      <c r="Z706" s="2"/>
    </row>
    <row r="707" spans="1:26" ht="19.5" customHeight="1">
      <c r="A707" s="28"/>
      <c r="B707" s="28"/>
      <c r="C707" s="28"/>
      <c r="D707" s="29"/>
      <c r="E707" s="29"/>
      <c r="F707" s="28"/>
      <c r="G707" s="28"/>
      <c r="H707" s="28"/>
      <c r="I707" s="28"/>
      <c r="J707" s="28"/>
      <c r="K707" s="28"/>
      <c r="L707" s="28"/>
      <c r="M707" s="28"/>
      <c r="N707" s="28"/>
      <c r="O707" s="28"/>
      <c r="P707" s="28"/>
      <c r="Q707" s="28"/>
      <c r="R707" s="28"/>
      <c r="S707" s="28"/>
      <c r="T707" s="28"/>
      <c r="U707" s="7"/>
      <c r="V707" s="28"/>
      <c r="W707" s="28"/>
      <c r="X707" s="2"/>
      <c r="Y707" s="2"/>
      <c r="Z707" s="2"/>
    </row>
    <row r="708" spans="1:26" ht="19.5" customHeight="1">
      <c r="A708" s="28"/>
      <c r="B708" s="28"/>
      <c r="C708" s="28"/>
      <c r="D708" s="29"/>
      <c r="E708" s="29"/>
      <c r="F708" s="28"/>
      <c r="G708" s="28"/>
      <c r="H708" s="28"/>
      <c r="I708" s="28"/>
      <c r="J708" s="28"/>
      <c r="K708" s="28"/>
      <c r="L708" s="28"/>
      <c r="M708" s="28"/>
      <c r="N708" s="28"/>
      <c r="O708" s="28"/>
      <c r="P708" s="28"/>
      <c r="Q708" s="28"/>
      <c r="R708" s="28"/>
      <c r="S708" s="28"/>
      <c r="T708" s="28"/>
      <c r="U708" s="7"/>
      <c r="V708" s="28"/>
      <c r="W708" s="28"/>
      <c r="X708" s="2"/>
      <c r="Y708" s="2"/>
      <c r="Z708" s="2"/>
    </row>
    <row r="709" spans="1:26" ht="19.5" customHeight="1">
      <c r="A709" s="28"/>
      <c r="B709" s="28"/>
      <c r="C709" s="28"/>
      <c r="D709" s="29"/>
      <c r="E709" s="29"/>
      <c r="F709" s="28"/>
      <c r="G709" s="28"/>
      <c r="H709" s="28"/>
      <c r="I709" s="28"/>
      <c r="J709" s="28"/>
      <c r="K709" s="28"/>
      <c r="L709" s="28"/>
      <c r="M709" s="28"/>
      <c r="N709" s="28"/>
      <c r="O709" s="28"/>
      <c r="P709" s="28"/>
      <c r="Q709" s="28"/>
      <c r="R709" s="28"/>
      <c r="S709" s="28"/>
      <c r="T709" s="28"/>
      <c r="U709" s="7"/>
      <c r="V709" s="28"/>
      <c r="W709" s="28"/>
      <c r="X709" s="2"/>
      <c r="Y709" s="2"/>
      <c r="Z709" s="2"/>
    </row>
    <row r="710" spans="1:26" ht="19.5" customHeight="1">
      <c r="A710" s="28"/>
      <c r="B710" s="28"/>
      <c r="C710" s="28"/>
      <c r="D710" s="29"/>
      <c r="E710" s="29"/>
      <c r="F710" s="28"/>
      <c r="G710" s="28"/>
      <c r="H710" s="28"/>
      <c r="I710" s="28"/>
      <c r="J710" s="28"/>
      <c r="K710" s="28"/>
      <c r="L710" s="28"/>
      <c r="M710" s="28"/>
      <c r="N710" s="28"/>
      <c r="O710" s="28"/>
      <c r="P710" s="28"/>
      <c r="Q710" s="28"/>
      <c r="R710" s="28"/>
      <c r="S710" s="28"/>
      <c r="T710" s="28"/>
      <c r="U710" s="7"/>
      <c r="V710" s="28"/>
      <c r="W710" s="28"/>
      <c r="X710" s="2"/>
      <c r="Y710" s="2"/>
      <c r="Z710" s="2"/>
    </row>
    <row r="711" spans="1:26" ht="19.5" customHeight="1">
      <c r="A711" s="28"/>
      <c r="B711" s="28"/>
      <c r="C711" s="28"/>
      <c r="D711" s="29"/>
      <c r="E711" s="29"/>
      <c r="F711" s="28"/>
      <c r="G711" s="28"/>
      <c r="H711" s="28"/>
      <c r="I711" s="28"/>
      <c r="J711" s="28"/>
      <c r="K711" s="28"/>
      <c r="L711" s="28"/>
      <c r="M711" s="28"/>
      <c r="N711" s="28"/>
      <c r="O711" s="28"/>
      <c r="P711" s="28"/>
      <c r="Q711" s="28"/>
      <c r="R711" s="28"/>
      <c r="S711" s="28"/>
      <c r="T711" s="28"/>
      <c r="U711" s="7"/>
      <c r="V711" s="28"/>
      <c r="W711" s="28"/>
      <c r="X711" s="2"/>
      <c r="Y711" s="2"/>
      <c r="Z711" s="2"/>
    </row>
    <row r="712" spans="1:26" ht="19.5" customHeight="1">
      <c r="A712" s="28"/>
      <c r="B712" s="28"/>
      <c r="C712" s="28"/>
      <c r="D712" s="29"/>
      <c r="E712" s="29"/>
      <c r="F712" s="28"/>
      <c r="G712" s="28"/>
      <c r="H712" s="28"/>
      <c r="I712" s="28"/>
      <c r="J712" s="28"/>
      <c r="K712" s="28"/>
      <c r="L712" s="28"/>
      <c r="M712" s="28"/>
      <c r="N712" s="28"/>
      <c r="O712" s="28"/>
      <c r="P712" s="28"/>
      <c r="Q712" s="28"/>
      <c r="R712" s="28"/>
      <c r="S712" s="28"/>
      <c r="T712" s="28"/>
      <c r="U712" s="7"/>
      <c r="V712" s="28"/>
      <c r="W712" s="28"/>
      <c r="X712" s="2"/>
      <c r="Y712" s="2"/>
      <c r="Z712" s="2"/>
    </row>
    <row r="713" spans="1:26" ht="19.5" customHeight="1">
      <c r="A713" s="28"/>
      <c r="B713" s="28"/>
      <c r="C713" s="28"/>
      <c r="D713" s="29"/>
      <c r="E713" s="29"/>
      <c r="F713" s="28"/>
      <c r="G713" s="28"/>
      <c r="H713" s="28"/>
      <c r="I713" s="28"/>
      <c r="J713" s="28"/>
      <c r="K713" s="28"/>
      <c r="L713" s="28"/>
      <c r="M713" s="28"/>
      <c r="N713" s="28"/>
      <c r="O713" s="28"/>
      <c r="P713" s="28"/>
      <c r="Q713" s="28"/>
      <c r="R713" s="28"/>
      <c r="S713" s="28"/>
      <c r="T713" s="28"/>
      <c r="U713" s="7"/>
      <c r="V713" s="28"/>
      <c r="W713" s="28"/>
      <c r="X713" s="2"/>
      <c r="Y713" s="2"/>
      <c r="Z713" s="2"/>
    </row>
    <row r="714" spans="1:26" ht="19.5" customHeight="1">
      <c r="A714" s="28"/>
      <c r="B714" s="28"/>
      <c r="C714" s="28"/>
      <c r="D714" s="29"/>
      <c r="E714" s="29"/>
      <c r="F714" s="28"/>
      <c r="G714" s="28"/>
      <c r="H714" s="28"/>
      <c r="I714" s="28"/>
      <c r="J714" s="28"/>
      <c r="K714" s="28"/>
      <c r="L714" s="28"/>
      <c r="M714" s="28"/>
      <c r="N714" s="28"/>
      <c r="O714" s="28"/>
      <c r="P714" s="28"/>
      <c r="Q714" s="28"/>
      <c r="R714" s="28"/>
      <c r="S714" s="28"/>
      <c r="T714" s="28"/>
      <c r="U714" s="7"/>
      <c r="V714" s="28"/>
      <c r="W714" s="28"/>
      <c r="X714" s="2"/>
      <c r="Y714" s="2"/>
      <c r="Z714" s="2"/>
    </row>
    <row r="715" spans="1:26" ht="19.5" customHeight="1">
      <c r="A715" s="28"/>
      <c r="B715" s="28"/>
      <c r="C715" s="28"/>
      <c r="D715" s="29"/>
      <c r="E715" s="29"/>
      <c r="F715" s="28"/>
      <c r="G715" s="28"/>
      <c r="H715" s="28"/>
      <c r="I715" s="28"/>
      <c r="J715" s="28"/>
      <c r="K715" s="28"/>
      <c r="L715" s="28"/>
      <c r="M715" s="28"/>
      <c r="N715" s="28"/>
      <c r="O715" s="28"/>
      <c r="P715" s="28"/>
      <c r="Q715" s="28"/>
      <c r="R715" s="28"/>
      <c r="S715" s="28"/>
      <c r="T715" s="28"/>
      <c r="U715" s="7"/>
      <c r="V715" s="28"/>
      <c r="W715" s="28"/>
      <c r="X715" s="2"/>
      <c r="Y715" s="2"/>
      <c r="Z715" s="2"/>
    </row>
    <row r="716" spans="1:26" ht="19.5" customHeight="1">
      <c r="A716" s="28"/>
      <c r="B716" s="28"/>
      <c r="C716" s="28"/>
      <c r="D716" s="29"/>
      <c r="E716" s="29"/>
      <c r="F716" s="28"/>
      <c r="G716" s="28"/>
      <c r="H716" s="28"/>
      <c r="I716" s="28"/>
      <c r="J716" s="28"/>
      <c r="K716" s="28"/>
      <c r="L716" s="28"/>
      <c r="M716" s="28"/>
      <c r="N716" s="28"/>
      <c r="O716" s="28"/>
      <c r="P716" s="28"/>
      <c r="Q716" s="28"/>
      <c r="R716" s="28"/>
      <c r="S716" s="28"/>
      <c r="T716" s="28"/>
      <c r="U716" s="7"/>
      <c r="V716" s="28"/>
      <c r="W716" s="28"/>
      <c r="X716" s="2"/>
      <c r="Y716" s="2"/>
      <c r="Z716" s="2"/>
    </row>
    <row r="717" spans="1:26" ht="19.5" customHeight="1">
      <c r="A717" s="28"/>
      <c r="B717" s="28"/>
      <c r="C717" s="28"/>
      <c r="D717" s="29"/>
      <c r="E717" s="29"/>
      <c r="F717" s="28"/>
      <c r="G717" s="28"/>
      <c r="H717" s="28"/>
      <c r="I717" s="28"/>
      <c r="J717" s="28"/>
      <c r="K717" s="28"/>
      <c r="L717" s="28"/>
      <c r="M717" s="28"/>
      <c r="N717" s="28"/>
      <c r="O717" s="28"/>
      <c r="P717" s="28"/>
      <c r="Q717" s="28"/>
      <c r="R717" s="28"/>
      <c r="S717" s="28"/>
      <c r="T717" s="28"/>
      <c r="U717" s="7"/>
      <c r="V717" s="28"/>
      <c r="W717" s="28"/>
      <c r="X717" s="2"/>
      <c r="Y717" s="2"/>
      <c r="Z717" s="2"/>
    </row>
    <row r="718" spans="1:26" ht="19.5" customHeight="1">
      <c r="A718" s="28"/>
      <c r="B718" s="28"/>
      <c r="C718" s="28"/>
      <c r="D718" s="29"/>
      <c r="E718" s="29"/>
      <c r="F718" s="28"/>
      <c r="G718" s="28"/>
      <c r="H718" s="28"/>
      <c r="I718" s="28"/>
      <c r="J718" s="28"/>
      <c r="K718" s="28"/>
      <c r="L718" s="28"/>
      <c r="M718" s="28"/>
      <c r="N718" s="28"/>
      <c r="O718" s="28"/>
      <c r="P718" s="28"/>
      <c r="Q718" s="28"/>
      <c r="R718" s="28"/>
      <c r="S718" s="28"/>
      <c r="T718" s="28"/>
      <c r="U718" s="7"/>
      <c r="V718" s="28"/>
      <c r="W718" s="28"/>
      <c r="X718" s="2"/>
      <c r="Y718" s="2"/>
      <c r="Z718" s="2"/>
    </row>
    <row r="719" spans="1:26" ht="19.5" customHeight="1">
      <c r="A719" s="28"/>
      <c r="B719" s="28"/>
      <c r="C719" s="28"/>
      <c r="D719" s="29"/>
      <c r="E719" s="29"/>
      <c r="F719" s="28"/>
      <c r="G719" s="28"/>
      <c r="H719" s="28"/>
      <c r="I719" s="28"/>
      <c r="J719" s="28"/>
      <c r="K719" s="28"/>
      <c r="L719" s="28"/>
      <c r="M719" s="28"/>
      <c r="N719" s="28"/>
      <c r="O719" s="28"/>
      <c r="P719" s="28"/>
      <c r="Q719" s="28"/>
      <c r="R719" s="28"/>
      <c r="S719" s="28"/>
      <c r="T719" s="28"/>
      <c r="U719" s="7"/>
      <c r="V719" s="28"/>
      <c r="W719" s="28"/>
      <c r="X719" s="2"/>
      <c r="Y719" s="2"/>
      <c r="Z719" s="2"/>
    </row>
    <row r="720" spans="1:26" ht="19.5" customHeight="1">
      <c r="A720" s="28"/>
      <c r="B720" s="28"/>
      <c r="C720" s="28"/>
      <c r="D720" s="29"/>
      <c r="E720" s="29"/>
      <c r="F720" s="28"/>
      <c r="G720" s="28"/>
      <c r="H720" s="28"/>
      <c r="I720" s="28"/>
      <c r="J720" s="28"/>
      <c r="K720" s="28"/>
      <c r="L720" s="28"/>
      <c r="M720" s="28"/>
      <c r="N720" s="28"/>
      <c r="O720" s="28"/>
      <c r="P720" s="28"/>
      <c r="Q720" s="28"/>
      <c r="R720" s="28"/>
      <c r="S720" s="28"/>
      <c r="T720" s="28"/>
      <c r="U720" s="7"/>
      <c r="V720" s="28"/>
      <c r="W720" s="28"/>
      <c r="X720" s="2"/>
      <c r="Y720" s="2"/>
      <c r="Z720" s="2"/>
    </row>
    <row r="721" spans="1:26" ht="19.5" customHeight="1">
      <c r="A721" s="28"/>
      <c r="B721" s="28"/>
      <c r="C721" s="28"/>
      <c r="D721" s="29"/>
      <c r="E721" s="29"/>
      <c r="F721" s="28"/>
      <c r="G721" s="28"/>
      <c r="H721" s="28"/>
      <c r="I721" s="28"/>
      <c r="J721" s="28"/>
      <c r="K721" s="28"/>
      <c r="L721" s="28"/>
      <c r="M721" s="28"/>
      <c r="N721" s="28"/>
      <c r="O721" s="28"/>
      <c r="P721" s="28"/>
      <c r="Q721" s="28"/>
      <c r="R721" s="28"/>
      <c r="S721" s="28"/>
      <c r="T721" s="28"/>
      <c r="U721" s="7"/>
      <c r="V721" s="28"/>
      <c r="W721" s="28"/>
      <c r="X721" s="2"/>
      <c r="Y721" s="2"/>
      <c r="Z721" s="2"/>
    </row>
    <row r="722" spans="1:26" ht="19.5" customHeight="1">
      <c r="A722" s="28"/>
      <c r="B722" s="28"/>
      <c r="C722" s="28"/>
      <c r="D722" s="29"/>
      <c r="E722" s="29"/>
      <c r="F722" s="28"/>
      <c r="G722" s="28"/>
      <c r="H722" s="28"/>
      <c r="I722" s="28"/>
      <c r="J722" s="28"/>
      <c r="K722" s="28"/>
      <c r="L722" s="28"/>
      <c r="M722" s="28"/>
      <c r="N722" s="28"/>
      <c r="O722" s="28"/>
      <c r="P722" s="28"/>
      <c r="Q722" s="28"/>
      <c r="R722" s="28"/>
      <c r="S722" s="28"/>
      <c r="T722" s="28"/>
      <c r="U722" s="7"/>
      <c r="V722" s="28"/>
      <c r="W722" s="28"/>
      <c r="X722" s="2"/>
      <c r="Y722" s="2"/>
      <c r="Z722" s="2"/>
    </row>
    <row r="723" spans="1:26" ht="19.5" customHeight="1">
      <c r="A723" s="28"/>
      <c r="B723" s="28"/>
      <c r="C723" s="28"/>
      <c r="D723" s="29"/>
      <c r="E723" s="29"/>
      <c r="F723" s="28"/>
      <c r="G723" s="28"/>
      <c r="H723" s="28"/>
      <c r="I723" s="28"/>
      <c r="J723" s="28"/>
      <c r="K723" s="28"/>
      <c r="L723" s="28"/>
      <c r="M723" s="28"/>
      <c r="N723" s="28"/>
      <c r="O723" s="28"/>
      <c r="P723" s="28"/>
      <c r="Q723" s="28"/>
      <c r="R723" s="28"/>
      <c r="S723" s="28"/>
      <c r="T723" s="28"/>
      <c r="U723" s="7"/>
      <c r="V723" s="28"/>
      <c r="W723" s="28"/>
      <c r="X723" s="2"/>
      <c r="Y723" s="2"/>
      <c r="Z723" s="2"/>
    </row>
    <row r="724" spans="1:26" ht="19.5" customHeight="1">
      <c r="A724" s="28"/>
      <c r="B724" s="28"/>
      <c r="C724" s="28"/>
      <c r="D724" s="29"/>
      <c r="E724" s="29"/>
      <c r="F724" s="28"/>
      <c r="G724" s="28"/>
      <c r="H724" s="28"/>
      <c r="I724" s="28"/>
      <c r="J724" s="28"/>
      <c r="K724" s="28"/>
      <c r="L724" s="28"/>
      <c r="M724" s="28"/>
      <c r="N724" s="28"/>
      <c r="O724" s="28"/>
      <c r="P724" s="28"/>
      <c r="Q724" s="28"/>
      <c r="R724" s="28"/>
      <c r="S724" s="28"/>
      <c r="T724" s="28"/>
      <c r="U724" s="7"/>
      <c r="V724" s="28"/>
      <c r="W724" s="28"/>
      <c r="X724" s="2"/>
      <c r="Y724" s="2"/>
      <c r="Z724" s="2"/>
    </row>
    <row r="725" spans="1:26" ht="19.5" customHeight="1">
      <c r="A725" s="28"/>
      <c r="B725" s="28"/>
      <c r="C725" s="28"/>
      <c r="D725" s="29"/>
      <c r="E725" s="29"/>
      <c r="F725" s="28"/>
      <c r="G725" s="28"/>
      <c r="H725" s="28"/>
      <c r="I725" s="28"/>
      <c r="J725" s="28"/>
      <c r="K725" s="28"/>
      <c r="L725" s="28"/>
      <c r="M725" s="28"/>
      <c r="N725" s="28"/>
      <c r="O725" s="28"/>
      <c r="P725" s="28"/>
      <c r="Q725" s="28"/>
      <c r="R725" s="28"/>
      <c r="S725" s="28"/>
      <c r="T725" s="28"/>
      <c r="U725" s="7"/>
      <c r="V725" s="28"/>
      <c r="W725" s="28"/>
      <c r="X725" s="2"/>
      <c r="Y725" s="2"/>
      <c r="Z725" s="2"/>
    </row>
    <row r="726" spans="1:26" ht="19.5" customHeight="1">
      <c r="A726" s="28"/>
      <c r="B726" s="28"/>
      <c r="C726" s="28"/>
      <c r="D726" s="29"/>
      <c r="E726" s="29"/>
      <c r="F726" s="28"/>
      <c r="G726" s="28"/>
      <c r="H726" s="28"/>
      <c r="I726" s="28"/>
      <c r="J726" s="28"/>
      <c r="K726" s="28"/>
      <c r="L726" s="28"/>
      <c r="M726" s="28"/>
      <c r="N726" s="28"/>
      <c r="O726" s="28"/>
      <c r="P726" s="28"/>
      <c r="Q726" s="28"/>
      <c r="R726" s="28"/>
      <c r="S726" s="28"/>
      <c r="T726" s="28"/>
      <c r="U726" s="7"/>
      <c r="V726" s="28"/>
      <c r="W726" s="28"/>
      <c r="X726" s="2"/>
      <c r="Y726" s="2"/>
      <c r="Z726" s="2"/>
    </row>
    <row r="727" spans="1:26" ht="19.5" customHeight="1">
      <c r="A727" s="28"/>
      <c r="B727" s="28"/>
      <c r="C727" s="28"/>
      <c r="D727" s="29"/>
      <c r="E727" s="29"/>
      <c r="F727" s="28"/>
      <c r="G727" s="28"/>
      <c r="H727" s="28"/>
      <c r="I727" s="28"/>
      <c r="J727" s="28"/>
      <c r="K727" s="28"/>
      <c r="L727" s="28"/>
      <c r="M727" s="28"/>
      <c r="N727" s="28"/>
      <c r="O727" s="28"/>
      <c r="P727" s="28"/>
      <c r="Q727" s="28"/>
      <c r="R727" s="28"/>
      <c r="S727" s="28"/>
      <c r="T727" s="28"/>
      <c r="U727" s="7"/>
      <c r="V727" s="28"/>
      <c r="W727" s="28"/>
      <c r="X727" s="2"/>
      <c r="Y727" s="2"/>
      <c r="Z727" s="2"/>
    </row>
    <row r="728" spans="1:26" ht="19.5" customHeight="1">
      <c r="A728" s="28"/>
      <c r="B728" s="28"/>
      <c r="C728" s="28"/>
      <c r="D728" s="29"/>
      <c r="E728" s="29"/>
      <c r="F728" s="28"/>
      <c r="G728" s="28"/>
      <c r="H728" s="28"/>
      <c r="I728" s="28"/>
      <c r="J728" s="28"/>
      <c r="K728" s="28"/>
      <c r="L728" s="28"/>
      <c r="M728" s="28"/>
      <c r="N728" s="28"/>
      <c r="O728" s="28"/>
      <c r="P728" s="28"/>
      <c r="Q728" s="28"/>
      <c r="R728" s="28"/>
      <c r="S728" s="28"/>
      <c r="T728" s="28"/>
      <c r="U728" s="7"/>
      <c r="V728" s="28"/>
      <c r="W728" s="28"/>
      <c r="X728" s="2"/>
      <c r="Y728" s="2"/>
      <c r="Z728" s="2"/>
    </row>
    <row r="729" spans="1:26" ht="19.5" customHeight="1">
      <c r="A729" s="28"/>
      <c r="B729" s="28"/>
      <c r="C729" s="28"/>
      <c r="D729" s="29"/>
      <c r="E729" s="29"/>
      <c r="F729" s="28"/>
      <c r="G729" s="28"/>
      <c r="H729" s="28"/>
      <c r="I729" s="28"/>
      <c r="J729" s="28"/>
      <c r="K729" s="28"/>
      <c r="L729" s="28"/>
      <c r="M729" s="28"/>
      <c r="N729" s="28"/>
      <c r="O729" s="28"/>
      <c r="P729" s="28"/>
      <c r="Q729" s="28"/>
      <c r="R729" s="28"/>
      <c r="S729" s="28"/>
      <c r="T729" s="28"/>
      <c r="U729" s="7"/>
      <c r="V729" s="28"/>
      <c r="W729" s="28"/>
      <c r="X729" s="2"/>
      <c r="Y729" s="2"/>
      <c r="Z729" s="2"/>
    </row>
    <row r="730" spans="1:26" ht="19.5" customHeight="1">
      <c r="A730" s="28"/>
      <c r="B730" s="28"/>
      <c r="C730" s="28"/>
      <c r="D730" s="29"/>
      <c r="E730" s="29"/>
      <c r="F730" s="28"/>
      <c r="G730" s="28"/>
      <c r="H730" s="28"/>
      <c r="I730" s="28"/>
      <c r="J730" s="28"/>
      <c r="K730" s="28"/>
      <c r="L730" s="28"/>
      <c r="M730" s="28"/>
      <c r="N730" s="28"/>
      <c r="O730" s="28"/>
      <c r="P730" s="28"/>
      <c r="Q730" s="28"/>
      <c r="R730" s="28"/>
      <c r="S730" s="28"/>
      <c r="T730" s="28"/>
      <c r="U730" s="7"/>
      <c r="V730" s="28"/>
      <c r="W730" s="28"/>
      <c r="X730" s="2"/>
      <c r="Y730" s="2"/>
      <c r="Z730" s="2"/>
    </row>
    <row r="731" spans="1:26" ht="19.5" customHeight="1">
      <c r="A731" s="28"/>
      <c r="B731" s="28"/>
      <c r="C731" s="28"/>
      <c r="D731" s="29"/>
      <c r="E731" s="29"/>
      <c r="F731" s="28"/>
      <c r="G731" s="28"/>
      <c r="H731" s="28"/>
      <c r="I731" s="28"/>
      <c r="J731" s="28"/>
      <c r="K731" s="28"/>
      <c r="L731" s="28"/>
      <c r="M731" s="28"/>
      <c r="N731" s="28"/>
      <c r="O731" s="28"/>
      <c r="P731" s="28"/>
      <c r="Q731" s="28"/>
      <c r="R731" s="28"/>
      <c r="S731" s="28"/>
      <c r="T731" s="28"/>
      <c r="U731" s="7"/>
      <c r="V731" s="28"/>
      <c r="W731" s="28"/>
      <c r="X731" s="2"/>
      <c r="Y731" s="2"/>
      <c r="Z731" s="2"/>
    </row>
    <row r="732" spans="1:26" ht="19.5" customHeight="1">
      <c r="A732" s="28"/>
      <c r="B732" s="28"/>
      <c r="C732" s="28"/>
      <c r="D732" s="29"/>
      <c r="E732" s="29"/>
      <c r="F732" s="28"/>
      <c r="G732" s="28"/>
      <c r="H732" s="28"/>
      <c r="I732" s="28"/>
      <c r="J732" s="28"/>
      <c r="K732" s="28"/>
      <c r="L732" s="28"/>
      <c r="M732" s="28"/>
      <c r="N732" s="28"/>
      <c r="O732" s="28"/>
      <c r="P732" s="28"/>
      <c r="Q732" s="28"/>
      <c r="R732" s="28"/>
      <c r="S732" s="28"/>
      <c r="T732" s="28"/>
      <c r="U732" s="7"/>
      <c r="V732" s="28"/>
      <c r="W732" s="28"/>
      <c r="X732" s="2"/>
      <c r="Y732" s="2"/>
      <c r="Z732" s="2"/>
    </row>
    <row r="733" spans="1:26" ht="19.5" customHeight="1">
      <c r="A733" s="28"/>
      <c r="B733" s="28"/>
      <c r="C733" s="28"/>
      <c r="D733" s="29"/>
      <c r="E733" s="29"/>
      <c r="F733" s="28"/>
      <c r="G733" s="28"/>
      <c r="H733" s="28"/>
      <c r="I733" s="28"/>
      <c r="J733" s="28"/>
      <c r="K733" s="28"/>
      <c r="L733" s="28"/>
      <c r="M733" s="28"/>
      <c r="N733" s="28"/>
      <c r="O733" s="28"/>
      <c r="P733" s="28"/>
      <c r="Q733" s="28"/>
      <c r="R733" s="28"/>
      <c r="S733" s="28"/>
      <c r="T733" s="28"/>
      <c r="U733" s="7"/>
      <c r="V733" s="28"/>
      <c r="W733" s="28"/>
      <c r="X733" s="2"/>
      <c r="Y733" s="2"/>
      <c r="Z733" s="2"/>
    </row>
    <row r="734" spans="1:26" ht="19.5" customHeight="1">
      <c r="A734" s="28"/>
      <c r="B734" s="28"/>
      <c r="C734" s="28"/>
      <c r="D734" s="29"/>
      <c r="E734" s="29"/>
      <c r="F734" s="28"/>
      <c r="G734" s="28"/>
      <c r="H734" s="28"/>
      <c r="I734" s="28"/>
      <c r="J734" s="28"/>
      <c r="K734" s="28"/>
      <c r="L734" s="28"/>
      <c r="M734" s="28"/>
      <c r="N734" s="28"/>
      <c r="O734" s="28"/>
      <c r="P734" s="28"/>
      <c r="Q734" s="28"/>
      <c r="R734" s="28"/>
      <c r="S734" s="28"/>
      <c r="T734" s="28"/>
      <c r="U734" s="7"/>
      <c r="V734" s="28"/>
      <c r="W734" s="28"/>
      <c r="X734" s="2"/>
      <c r="Y734" s="2"/>
      <c r="Z734" s="2"/>
    </row>
    <row r="735" spans="1:26" ht="19.5" customHeight="1">
      <c r="A735" s="28"/>
      <c r="B735" s="28"/>
      <c r="C735" s="28"/>
      <c r="D735" s="29"/>
      <c r="E735" s="29"/>
      <c r="F735" s="28"/>
      <c r="G735" s="28"/>
      <c r="H735" s="28"/>
      <c r="I735" s="28"/>
      <c r="J735" s="28"/>
      <c r="K735" s="28"/>
      <c r="L735" s="28"/>
      <c r="M735" s="28"/>
      <c r="N735" s="28"/>
      <c r="O735" s="28"/>
      <c r="P735" s="28"/>
      <c r="Q735" s="28"/>
      <c r="R735" s="28"/>
      <c r="S735" s="28"/>
      <c r="T735" s="28"/>
      <c r="U735" s="7"/>
      <c r="V735" s="28"/>
      <c r="W735" s="28"/>
      <c r="X735" s="2"/>
      <c r="Y735" s="2"/>
      <c r="Z735" s="2"/>
    </row>
    <row r="736" spans="1:26" ht="19.5" customHeight="1">
      <c r="A736" s="28"/>
      <c r="B736" s="28"/>
      <c r="C736" s="28"/>
      <c r="D736" s="29"/>
      <c r="E736" s="29"/>
      <c r="F736" s="28"/>
      <c r="G736" s="28"/>
      <c r="H736" s="28"/>
      <c r="I736" s="28"/>
      <c r="J736" s="28"/>
      <c r="K736" s="28"/>
      <c r="L736" s="28"/>
      <c r="M736" s="28"/>
      <c r="N736" s="28"/>
      <c r="O736" s="28"/>
      <c r="P736" s="28"/>
      <c r="Q736" s="28"/>
      <c r="R736" s="28"/>
      <c r="S736" s="28"/>
      <c r="T736" s="28"/>
      <c r="U736" s="7"/>
      <c r="V736" s="28"/>
      <c r="W736" s="28"/>
      <c r="X736" s="2"/>
      <c r="Y736" s="2"/>
      <c r="Z736" s="2"/>
    </row>
    <row r="737" spans="1:26" ht="19.5" customHeight="1">
      <c r="A737" s="28"/>
      <c r="B737" s="28"/>
      <c r="C737" s="28"/>
      <c r="D737" s="29"/>
      <c r="E737" s="29"/>
      <c r="F737" s="28"/>
      <c r="G737" s="28"/>
      <c r="H737" s="28"/>
      <c r="I737" s="28"/>
      <c r="J737" s="28"/>
      <c r="K737" s="28"/>
      <c r="L737" s="28"/>
      <c r="M737" s="28"/>
      <c r="N737" s="28"/>
      <c r="O737" s="28"/>
      <c r="P737" s="28"/>
      <c r="Q737" s="28"/>
      <c r="R737" s="28"/>
      <c r="S737" s="28"/>
      <c r="T737" s="28"/>
      <c r="U737" s="7"/>
      <c r="V737" s="28"/>
      <c r="W737" s="28"/>
      <c r="X737" s="2"/>
      <c r="Y737" s="2"/>
      <c r="Z737" s="2"/>
    </row>
    <row r="738" spans="1:26" ht="19.5" customHeight="1">
      <c r="A738" s="28"/>
      <c r="B738" s="28"/>
      <c r="C738" s="28"/>
      <c r="D738" s="29"/>
      <c r="E738" s="29"/>
      <c r="F738" s="28"/>
      <c r="G738" s="28"/>
      <c r="H738" s="28"/>
      <c r="I738" s="28"/>
      <c r="J738" s="28"/>
      <c r="K738" s="28"/>
      <c r="L738" s="28"/>
      <c r="M738" s="28"/>
      <c r="N738" s="28"/>
      <c r="O738" s="28"/>
      <c r="P738" s="28"/>
      <c r="Q738" s="28"/>
      <c r="R738" s="28"/>
      <c r="S738" s="28"/>
      <c r="T738" s="28"/>
      <c r="U738" s="7"/>
      <c r="V738" s="28"/>
      <c r="W738" s="28"/>
      <c r="X738" s="2"/>
      <c r="Y738" s="2"/>
      <c r="Z738" s="2"/>
    </row>
    <row r="739" spans="1:26" ht="19.5" customHeight="1">
      <c r="A739" s="28"/>
      <c r="B739" s="28"/>
      <c r="C739" s="28"/>
      <c r="D739" s="29"/>
      <c r="E739" s="29"/>
      <c r="F739" s="28"/>
      <c r="G739" s="28"/>
      <c r="H739" s="28"/>
      <c r="I739" s="28"/>
      <c r="J739" s="28"/>
      <c r="K739" s="28"/>
      <c r="L739" s="28"/>
      <c r="M739" s="28"/>
      <c r="N739" s="28"/>
      <c r="O739" s="28"/>
      <c r="P739" s="28"/>
      <c r="Q739" s="28"/>
      <c r="R739" s="28"/>
      <c r="S739" s="28"/>
      <c r="T739" s="28"/>
      <c r="U739" s="7"/>
      <c r="V739" s="28"/>
      <c r="W739" s="28"/>
      <c r="X739" s="2"/>
      <c r="Y739" s="2"/>
      <c r="Z739" s="2"/>
    </row>
    <row r="740" spans="1:26" ht="19.5" customHeight="1">
      <c r="A740" s="28"/>
      <c r="B740" s="28"/>
      <c r="C740" s="28"/>
      <c r="D740" s="29"/>
      <c r="E740" s="29"/>
      <c r="F740" s="28"/>
      <c r="G740" s="28"/>
      <c r="H740" s="28"/>
      <c r="I740" s="28"/>
      <c r="J740" s="28"/>
      <c r="K740" s="28"/>
      <c r="L740" s="28"/>
      <c r="M740" s="28"/>
      <c r="N740" s="28"/>
      <c r="O740" s="28"/>
      <c r="P740" s="28"/>
      <c r="Q740" s="28"/>
      <c r="R740" s="28"/>
      <c r="S740" s="28"/>
      <c r="T740" s="28"/>
      <c r="U740" s="7"/>
      <c r="V740" s="28"/>
      <c r="W740" s="28"/>
      <c r="X740" s="2"/>
      <c r="Y740" s="2"/>
      <c r="Z740" s="2"/>
    </row>
    <row r="741" spans="1:26" ht="19.5" customHeight="1">
      <c r="A741" s="28"/>
      <c r="B741" s="28"/>
      <c r="C741" s="28"/>
      <c r="D741" s="29"/>
      <c r="E741" s="29"/>
      <c r="F741" s="28"/>
      <c r="G741" s="28"/>
      <c r="H741" s="28"/>
      <c r="I741" s="28"/>
      <c r="J741" s="28"/>
      <c r="K741" s="28"/>
      <c r="L741" s="28"/>
      <c r="M741" s="28"/>
      <c r="N741" s="28"/>
      <c r="O741" s="28"/>
      <c r="P741" s="28"/>
      <c r="Q741" s="28"/>
      <c r="R741" s="28"/>
      <c r="S741" s="28"/>
      <c r="T741" s="28"/>
      <c r="U741" s="7"/>
      <c r="V741" s="28"/>
      <c r="W741" s="28"/>
      <c r="X741" s="2"/>
      <c r="Y741" s="2"/>
      <c r="Z741" s="2"/>
    </row>
    <row r="742" spans="1:26" ht="19.5" customHeight="1">
      <c r="A742" s="28"/>
      <c r="B742" s="28"/>
      <c r="C742" s="28"/>
      <c r="D742" s="29"/>
      <c r="E742" s="29"/>
      <c r="F742" s="28"/>
      <c r="G742" s="28"/>
      <c r="H742" s="28"/>
      <c r="I742" s="28"/>
      <c r="J742" s="28"/>
      <c r="K742" s="28"/>
      <c r="L742" s="28"/>
      <c r="M742" s="28"/>
      <c r="N742" s="28"/>
      <c r="O742" s="28"/>
      <c r="P742" s="28"/>
      <c r="Q742" s="28"/>
      <c r="R742" s="28"/>
      <c r="S742" s="28"/>
      <c r="T742" s="28"/>
      <c r="U742" s="7"/>
      <c r="V742" s="28"/>
      <c r="W742" s="28"/>
      <c r="X742" s="2"/>
      <c r="Y742" s="2"/>
      <c r="Z742" s="2"/>
    </row>
    <row r="743" spans="1:26" ht="19.5" customHeight="1">
      <c r="A743" s="28"/>
      <c r="B743" s="28"/>
      <c r="C743" s="28"/>
      <c r="D743" s="29"/>
      <c r="E743" s="29"/>
      <c r="F743" s="28"/>
      <c r="G743" s="28"/>
      <c r="H743" s="28"/>
      <c r="I743" s="28"/>
      <c r="J743" s="28"/>
      <c r="K743" s="28"/>
      <c r="L743" s="28"/>
      <c r="M743" s="28"/>
      <c r="N743" s="28"/>
      <c r="O743" s="28"/>
      <c r="P743" s="28"/>
      <c r="Q743" s="28"/>
      <c r="R743" s="28"/>
      <c r="S743" s="28"/>
      <c r="T743" s="28"/>
      <c r="U743" s="7"/>
      <c r="V743" s="28"/>
      <c r="W743" s="28"/>
      <c r="X743" s="2"/>
      <c r="Y743" s="2"/>
      <c r="Z743" s="2"/>
    </row>
    <row r="744" spans="1:26" ht="19.5" customHeight="1">
      <c r="A744" s="28"/>
      <c r="B744" s="28"/>
      <c r="C744" s="28"/>
      <c r="D744" s="29"/>
      <c r="E744" s="29"/>
      <c r="F744" s="28"/>
      <c r="G744" s="28"/>
      <c r="H744" s="28"/>
      <c r="I744" s="28"/>
      <c r="J744" s="28"/>
      <c r="K744" s="28"/>
      <c r="L744" s="28"/>
      <c r="M744" s="28"/>
      <c r="N744" s="28"/>
      <c r="O744" s="28"/>
      <c r="P744" s="28"/>
      <c r="Q744" s="28"/>
      <c r="R744" s="28"/>
      <c r="S744" s="28"/>
      <c r="T744" s="28"/>
      <c r="U744" s="7"/>
      <c r="V744" s="28"/>
      <c r="W744" s="28"/>
      <c r="X744" s="2"/>
      <c r="Y744" s="2"/>
      <c r="Z744" s="2"/>
    </row>
    <row r="745" spans="1:26" ht="19.5" customHeight="1">
      <c r="A745" s="28"/>
      <c r="B745" s="28"/>
      <c r="C745" s="28"/>
      <c r="D745" s="29"/>
      <c r="E745" s="29"/>
      <c r="F745" s="28"/>
      <c r="G745" s="28"/>
      <c r="H745" s="28"/>
      <c r="I745" s="28"/>
      <c r="J745" s="28"/>
      <c r="K745" s="28"/>
      <c r="L745" s="28"/>
      <c r="M745" s="28"/>
      <c r="N745" s="28"/>
      <c r="O745" s="28"/>
      <c r="P745" s="28"/>
      <c r="Q745" s="28"/>
      <c r="R745" s="28"/>
      <c r="S745" s="28"/>
      <c r="T745" s="28"/>
      <c r="U745" s="7"/>
      <c r="V745" s="28"/>
      <c r="W745" s="28"/>
      <c r="X745" s="2"/>
      <c r="Y745" s="2"/>
      <c r="Z745" s="2"/>
    </row>
    <row r="746" spans="1:26" ht="19.5" customHeight="1">
      <c r="A746" s="28"/>
      <c r="B746" s="28"/>
      <c r="C746" s="28"/>
      <c r="D746" s="29"/>
      <c r="E746" s="29"/>
      <c r="F746" s="28"/>
      <c r="G746" s="28"/>
      <c r="H746" s="28"/>
      <c r="I746" s="28"/>
      <c r="J746" s="28"/>
      <c r="K746" s="28"/>
      <c r="L746" s="28"/>
      <c r="M746" s="28"/>
      <c r="N746" s="28"/>
      <c r="O746" s="28"/>
      <c r="P746" s="28"/>
      <c r="Q746" s="28"/>
      <c r="R746" s="28"/>
      <c r="S746" s="28"/>
      <c r="T746" s="28"/>
      <c r="U746" s="7"/>
      <c r="V746" s="28"/>
      <c r="W746" s="28"/>
      <c r="X746" s="2"/>
      <c r="Y746" s="2"/>
      <c r="Z746" s="2"/>
    </row>
    <row r="747" spans="1:26" ht="19.5" customHeight="1">
      <c r="A747" s="28"/>
      <c r="B747" s="28"/>
      <c r="C747" s="28"/>
      <c r="D747" s="29"/>
      <c r="E747" s="29"/>
      <c r="F747" s="28"/>
      <c r="G747" s="28"/>
      <c r="H747" s="28"/>
      <c r="I747" s="28"/>
      <c r="J747" s="28"/>
      <c r="K747" s="28"/>
      <c r="L747" s="28"/>
      <c r="M747" s="28"/>
      <c r="N747" s="28"/>
      <c r="O747" s="28"/>
      <c r="P747" s="28"/>
      <c r="Q747" s="28"/>
      <c r="R747" s="28"/>
      <c r="S747" s="28"/>
      <c r="T747" s="28"/>
      <c r="U747" s="7"/>
      <c r="V747" s="28"/>
      <c r="W747" s="28"/>
      <c r="X747" s="2"/>
      <c r="Y747" s="2"/>
      <c r="Z747" s="2"/>
    </row>
    <row r="748" spans="1:26" ht="19.5" customHeight="1">
      <c r="A748" s="28"/>
      <c r="B748" s="28"/>
      <c r="C748" s="28"/>
      <c r="D748" s="29"/>
      <c r="E748" s="29"/>
      <c r="F748" s="28"/>
      <c r="G748" s="28"/>
      <c r="H748" s="28"/>
      <c r="I748" s="28"/>
      <c r="J748" s="28"/>
      <c r="K748" s="28"/>
      <c r="L748" s="28"/>
      <c r="M748" s="28"/>
      <c r="N748" s="28"/>
      <c r="O748" s="28"/>
      <c r="P748" s="28"/>
      <c r="Q748" s="28"/>
      <c r="R748" s="28"/>
      <c r="S748" s="28"/>
      <c r="T748" s="28"/>
      <c r="U748" s="7"/>
      <c r="V748" s="28"/>
      <c r="W748" s="28"/>
      <c r="X748" s="2"/>
      <c r="Y748" s="2"/>
      <c r="Z748" s="2"/>
    </row>
    <row r="749" spans="1:26" ht="19.5" customHeight="1">
      <c r="A749" s="28"/>
      <c r="B749" s="28"/>
      <c r="C749" s="28"/>
      <c r="D749" s="29"/>
      <c r="E749" s="29"/>
      <c r="F749" s="28"/>
      <c r="G749" s="28"/>
      <c r="H749" s="28"/>
      <c r="I749" s="28"/>
      <c r="J749" s="28"/>
      <c r="K749" s="28"/>
      <c r="L749" s="28"/>
      <c r="M749" s="28"/>
      <c r="N749" s="28"/>
      <c r="O749" s="28"/>
      <c r="P749" s="28"/>
      <c r="Q749" s="28"/>
      <c r="R749" s="28"/>
      <c r="S749" s="28"/>
      <c r="T749" s="28"/>
      <c r="U749" s="7"/>
      <c r="V749" s="28"/>
      <c r="W749" s="28"/>
      <c r="X749" s="2"/>
      <c r="Y749" s="2"/>
      <c r="Z749" s="2"/>
    </row>
    <row r="750" spans="1:26" ht="19.5" customHeight="1">
      <c r="A750" s="28"/>
      <c r="B750" s="28"/>
      <c r="C750" s="28"/>
      <c r="D750" s="29"/>
      <c r="E750" s="29"/>
      <c r="F750" s="28"/>
      <c r="G750" s="28"/>
      <c r="H750" s="28"/>
      <c r="I750" s="28"/>
      <c r="J750" s="28"/>
      <c r="K750" s="28"/>
      <c r="L750" s="28"/>
      <c r="M750" s="28"/>
      <c r="N750" s="28"/>
      <c r="O750" s="28"/>
      <c r="P750" s="28"/>
      <c r="Q750" s="28"/>
      <c r="R750" s="28"/>
      <c r="S750" s="28"/>
      <c r="T750" s="28"/>
      <c r="U750" s="7"/>
      <c r="V750" s="28"/>
      <c r="W750" s="28"/>
      <c r="X750" s="2"/>
      <c r="Y750" s="2"/>
      <c r="Z750" s="2"/>
    </row>
    <row r="751" spans="1:26" ht="19.5" customHeight="1">
      <c r="A751" s="28"/>
      <c r="B751" s="28"/>
      <c r="C751" s="28"/>
      <c r="D751" s="29"/>
      <c r="E751" s="29"/>
      <c r="F751" s="28"/>
      <c r="G751" s="28"/>
      <c r="H751" s="28"/>
      <c r="I751" s="28"/>
      <c r="J751" s="28"/>
      <c r="K751" s="28"/>
      <c r="L751" s="28"/>
      <c r="M751" s="28"/>
      <c r="N751" s="28"/>
      <c r="O751" s="28"/>
      <c r="P751" s="28"/>
      <c r="Q751" s="28"/>
      <c r="R751" s="28"/>
      <c r="S751" s="28"/>
      <c r="T751" s="28"/>
      <c r="U751" s="7"/>
      <c r="V751" s="28"/>
      <c r="W751" s="28"/>
      <c r="X751" s="2"/>
      <c r="Y751" s="2"/>
      <c r="Z751" s="2"/>
    </row>
    <row r="752" spans="1:26" ht="19.5" customHeight="1">
      <c r="A752" s="28"/>
      <c r="B752" s="28"/>
      <c r="C752" s="28"/>
      <c r="D752" s="29"/>
      <c r="E752" s="29"/>
      <c r="F752" s="28"/>
      <c r="G752" s="28"/>
      <c r="H752" s="28"/>
      <c r="I752" s="28"/>
      <c r="J752" s="28"/>
      <c r="K752" s="28"/>
      <c r="L752" s="28"/>
      <c r="M752" s="28"/>
      <c r="N752" s="28"/>
      <c r="O752" s="28"/>
      <c r="P752" s="28"/>
      <c r="Q752" s="28"/>
      <c r="R752" s="28"/>
      <c r="S752" s="28"/>
      <c r="T752" s="28"/>
      <c r="U752" s="7"/>
      <c r="V752" s="28"/>
      <c r="W752" s="28"/>
      <c r="X752" s="2"/>
      <c r="Y752" s="2"/>
      <c r="Z752" s="2"/>
    </row>
    <row r="753" spans="1:26" ht="19.5" customHeight="1">
      <c r="A753" s="28"/>
      <c r="B753" s="28"/>
      <c r="C753" s="28"/>
      <c r="D753" s="29"/>
      <c r="E753" s="29"/>
      <c r="F753" s="28"/>
      <c r="G753" s="28"/>
      <c r="H753" s="28"/>
      <c r="I753" s="28"/>
      <c r="J753" s="28"/>
      <c r="K753" s="28"/>
      <c r="L753" s="28"/>
      <c r="M753" s="28"/>
      <c r="N753" s="28"/>
      <c r="O753" s="28"/>
      <c r="P753" s="28"/>
      <c r="Q753" s="28"/>
      <c r="R753" s="28"/>
      <c r="S753" s="28"/>
      <c r="T753" s="28"/>
      <c r="U753" s="7"/>
      <c r="V753" s="28"/>
      <c r="W753" s="28"/>
      <c r="X753" s="2"/>
      <c r="Y753" s="2"/>
      <c r="Z753" s="2"/>
    </row>
    <row r="754" spans="1:26" ht="19.5" customHeight="1">
      <c r="A754" s="28"/>
      <c r="B754" s="28"/>
      <c r="C754" s="28"/>
      <c r="D754" s="29"/>
      <c r="E754" s="29"/>
      <c r="F754" s="28"/>
      <c r="G754" s="28"/>
      <c r="H754" s="28"/>
      <c r="I754" s="28"/>
      <c r="J754" s="28"/>
      <c r="K754" s="28"/>
      <c r="L754" s="28"/>
      <c r="M754" s="28"/>
      <c r="N754" s="28"/>
      <c r="O754" s="28"/>
      <c r="P754" s="28"/>
      <c r="Q754" s="28"/>
      <c r="R754" s="28"/>
      <c r="S754" s="28"/>
      <c r="T754" s="28"/>
      <c r="U754" s="7"/>
      <c r="V754" s="28"/>
      <c r="W754" s="28"/>
      <c r="X754" s="2"/>
      <c r="Y754" s="2"/>
      <c r="Z754" s="2"/>
    </row>
    <row r="755" spans="1:26" ht="19.5" customHeight="1">
      <c r="A755" s="28"/>
      <c r="B755" s="28"/>
      <c r="C755" s="28"/>
      <c r="D755" s="29"/>
      <c r="E755" s="29"/>
      <c r="F755" s="28"/>
      <c r="G755" s="28"/>
      <c r="H755" s="28"/>
      <c r="I755" s="28"/>
      <c r="J755" s="28"/>
      <c r="K755" s="28"/>
      <c r="L755" s="28"/>
      <c r="M755" s="28"/>
      <c r="N755" s="28"/>
      <c r="O755" s="28"/>
      <c r="P755" s="28"/>
      <c r="Q755" s="28"/>
      <c r="R755" s="28"/>
      <c r="S755" s="28"/>
      <c r="T755" s="28"/>
      <c r="U755" s="7"/>
      <c r="V755" s="28"/>
      <c r="W755" s="28"/>
      <c r="X755" s="2"/>
      <c r="Y755" s="2"/>
      <c r="Z755" s="2"/>
    </row>
    <row r="756" spans="1:26" ht="19.5" customHeight="1">
      <c r="A756" s="28"/>
      <c r="B756" s="28"/>
      <c r="C756" s="28"/>
      <c r="D756" s="29"/>
      <c r="E756" s="29"/>
      <c r="F756" s="28"/>
      <c r="G756" s="28"/>
      <c r="H756" s="28"/>
      <c r="I756" s="28"/>
      <c r="J756" s="28"/>
      <c r="K756" s="28"/>
      <c r="L756" s="28"/>
      <c r="M756" s="28"/>
      <c r="N756" s="28"/>
      <c r="O756" s="28"/>
      <c r="P756" s="28"/>
      <c r="Q756" s="28"/>
      <c r="R756" s="28"/>
      <c r="S756" s="28"/>
      <c r="T756" s="28"/>
      <c r="U756" s="7"/>
      <c r="V756" s="28"/>
      <c r="W756" s="28"/>
      <c r="X756" s="2"/>
      <c r="Y756" s="2"/>
      <c r="Z756" s="2"/>
    </row>
    <row r="757" spans="1:26" ht="19.5" customHeight="1">
      <c r="A757" s="28"/>
      <c r="B757" s="28"/>
      <c r="C757" s="28"/>
      <c r="D757" s="29"/>
      <c r="E757" s="29"/>
      <c r="F757" s="28"/>
      <c r="G757" s="28"/>
      <c r="H757" s="28"/>
      <c r="I757" s="28"/>
      <c r="J757" s="28"/>
      <c r="K757" s="28"/>
      <c r="L757" s="28"/>
      <c r="M757" s="28"/>
      <c r="N757" s="28"/>
      <c r="O757" s="28"/>
      <c r="P757" s="28"/>
      <c r="Q757" s="28"/>
      <c r="R757" s="28"/>
      <c r="S757" s="28"/>
      <c r="T757" s="28"/>
      <c r="U757" s="7"/>
      <c r="V757" s="28"/>
      <c r="W757" s="28"/>
      <c r="X757" s="2"/>
      <c r="Y757" s="2"/>
      <c r="Z757" s="2"/>
    </row>
    <row r="758" spans="1:26" ht="19.5" customHeight="1">
      <c r="A758" s="28"/>
      <c r="B758" s="28"/>
      <c r="C758" s="28"/>
      <c r="D758" s="29"/>
      <c r="E758" s="29"/>
      <c r="F758" s="28"/>
      <c r="G758" s="28"/>
      <c r="H758" s="28"/>
      <c r="I758" s="28"/>
      <c r="J758" s="28"/>
      <c r="K758" s="28"/>
      <c r="L758" s="28"/>
      <c r="M758" s="28"/>
      <c r="N758" s="28"/>
      <c r="O758" s="28"/>
      <c r="P758" s="28"/>
      <c r="Q758" s="28"/>
      <c r="R758" s="28"/>
      <c r="S758" s="28"/>
      <c r="T758" s="28"/>
      <c r="U758" s="7"/>
      <c r="V758" s="28"/>
      <c r="W758" s="28"/>
      <c r="X758" s="2"/>
      <c r="Y758" s="2"/>
      <c r="Z758" s="2"/>
    </row>
    <row r="759" spans="1:26" ht="19.5" customHeight="1">
      <c r="A759" s="28"/>
      <c r="B759" s="28"/>
      <c r="C759" s="28"/>
      <c r="D759" s="29"/>
      <c r="E759" s="29"/>
      <c r="F759" s="28"/>
      <c r="G759" s="28"/>
      <c r="H759" s="28"/>
      <c r="I759" s="28"/>
      <c r="J759" s="28"/>
      <c r="K759" s="28"/>
      <c r="L759" s="28"/>
      <c r="M759" s="28"/>
      <c r="N759" s="28"/>
      <c r="O759" s="28"/>
      <c r="P759" s="28"/>
      <c r="Q759" s="28"/>
      <c r="R759" s="28"/>
      <c r="S759" s="28"/>
      <c r="T759" s="28"/>
      <c r="U759" s="7"/>
      <c r="V759" s="28"/>
      <c r="W759" s="28"/>
      <c r="X759" s="2"/>
      <c r="Y759" s="2"/>
      <c r="Z759" s="2"/>
    </row>
    <row r="760" spans="1:26" ht="19.5" customHeight="1">
      <c r="A760" s="28"/>
      <c r="B760" s="28"/>
      <c r="C760" s="28"/>
      <c r="D760" s="29"/>
      <c r="E760" s="29"/>
      <c r="F760" s="28"/>
      <c r="G760" s="28"/>
      <c r="H760" s="28"/>
      <c r="I760" s="28"/>
      <c r="J760" s="28"/>
      <c r="K760" s="28"/>
      <c r="L760" s="28"/>
      <c r="M760" s="28"/>
      <c r="N760" s="28"/>
      <c r="O760" s="28"/>
      <c r="P760" s="28"/>
      <c r="Q760" s="28"/>
      <c r="R760" s="28"/>
      <c r="S760" s="28"/>
      <c r="T760" s="28"/>
      <c r="U760" s="7"/>
      <c r="V760" s="28"/>
      <c r="W760" s="28"/>
      <c r="X760" s="2"/>
      <c r="Y760" s="2"/>
      <c r="Z760" s="2"/>
    </row>
    <row r="761" spans="1:26" ht="19.5" customHeight="1">
      <c r="A761" s="28"/>
      <c r="B761" s="28"/>
      <c r="C761" s="28"/>
      <c r="D761" s="29"/>
      <c r="E761" s="29"/>
      <c r="F761" s="28"/>
      <c r="G761" s="28"/>
      <c r="H761" s="28"/>
      <c r="I761" s="28"/>
      <c r="J761" s="28"/>
      <c r="K761" s="28"/>
      <c r="L761" s="28"/>
      <c r="M761" s="28"/>
      <c r="N761" s="28"/>
      <c r="O761" s="28"/>
      <c r="P761" s="28"/>
      <c r="Q761" s="28"/>
      <c r="R761" s="28"/>
      <c r="S761" s="28"/>
      <c r="T761" s="28"/>
      <c r="U761" s="7"/>
      <c r="V761" s="28"/>
      <c r="W761" s="28"/>
      <c r="X761" s="2"/>
      <c r="Y761" s="2"/>
      <c r="Z761" s="2"/>
    </row>
    <row r="762" spans="1:26" ht="19.5" customHeight="1">
      <c r="A762" s="28"/>
      <c r="B762" s="28"/>
      <c r="C762" s="28"/>
      <c r="D762" s="29"/>
      <c r="E762" s="29"/>
      <c r="F762" s="28"/>
      <c r="G762" s="28"/>
      <c r="H762" s="28"/>
      <c r="I762" s="28"/>
      <c r="J762" s="28"/>
      <c r="K762" s="28"/>
      <c r="L762" s="28"/>
      <c r="M762" s="28"/>
      <c r="N762" s="28"/>
      <c r="O762" s="28"/>
      <c r="P762" s="28"/>
      <c r="Q762" s="28"/>
      <c r="R762" s="28"/>
      <c r="S762" s="28"/>
      <c r="T762" s="28"/>
      <c r="U762" s="7"/>
      <c r="V762" s="28"/>
      <c r="W762" s="28"/>
      <c r="X762" s="2"/>
      <c r="Y762" s="2"/>
      <c r="Z762" s="2"/>
    </row>
    <row r="763" spans="1:26" ht="19.5" customHeight="1">
      <c r="A763" s="28"/>
      <c r="B763" s="28"/>
      <c r="C763" s="28"/>
      <c r="D763" s="29"/>
      <c r="E763" s="29"/>
      <c r="F763" s="28"/>
      <c r="G763" s="28"/>
      <c r="H763" s="28"/>
      <c r="I763" s="28"/>
      <c r="J763" s="28"/>
      <c r="K763" s="28"/>
      <c r="L763" s="28"/>
      <c r="M763" s="28"/>
      <c r="N763" s="28"/>
      <c r="O763" s="28"/>
      <c r="P763" s="28"/>
      <c r="Q763" s="28"/>
      <c r="R763" s="28"/>
      <c r="S763" s="28"/>
      <c r="T763" s="28"/>
      <c r="U763" s="7"/>
      <c r="V763" s="28"/>
      <c r="W763" s="28"/>
      <c r="X763" s="2"/>
      <c r="Y763" s="2"/>
      <c r="Z763" s="2"/>
    </row>
    <row r="764" spans="1:26" ht="19.5" customHeight="1">
      <c r="A764" s="28"/>
      <c r="B764" s="28"/>
      <c r="C764" s="28"/>
      <c r="D764" s="29"/>
      <c r="E764" s="29"/>
      <c r="F764" s="28"/>
      <c r="G764" s="28"/>
      <c r="H764" s="28"/>
      <c r="I764" s="28"/>
      <c r="J764" s="28"/>
      <c r="K764" s="28"/>
      <c r="L764" s="28"/>
      <c r="M764" s="28"/>
      <c r="N764" s="28"/>
      <c r="O764" s="28"/>
      <c r="P764" s="28"/>
      <c r="Q764" s="28"/>
      <c r="R764" s="28"/>
      <c r="S764" s="28"/>
      <c r="T764" s="28"/>
      <c r="U764" s="7"/>
      <c r="V764" s="28"/>
      <c r="W764" s="28"/>
      <c r="X764" s="2"/>
      <c r="Y764" s="2"/>
      <c r="Z764" s="2"/>
    </row>
    <row r="765" spans="1:26" ht="19.5" customHeight="1">
      <c r="A765" s="28"/>
      <c r="B765" s="28"/>
      <c r="C765" s="28"/>
      <c r="D765" s="29"/>
      <c r="E765" s="29"/>
      <c r="F765" s="28"/>
      <c r="G765" s="28"/>
      <c r="H765" s="28"/>
      <c r="I765" s="28"/>
      <c r="J765" s="28"/>
      <c r="K765" s="28"/>
      <c r="L765" s="28"/>
      <c r="M765" s="28"/>
      <c r="N765" s="28"/>
      <c r="O765" s="28"/>
      <c r="P765" s="28"/>
      <c r="Q765" s="28"/>
      <c r="R765" s="28"/>
      <c r="S765" s="28"/>
      <c r="T765" s="28"/>
      <c r="U765" s="7"/>
      <c r="V765" s="28"/>
      <c r="W765" s="28"/>
      <c r="X765" s="2"/>
      <c r="Y765" s="2"/>
      <c r="Z765" s="2"/>
    </row>
    <row r="766" spans="1:26" ht="19.5" customHeight="1">
      <c r="A766" s="28"/>
      <c r="B766" s="28"/>
      <c r="C766" s="28"/>
      <c r="D766" s="29"/>
      <c r="E766" s="29"/>
      <c r="F766" s="28"/>
      <c r="G766" s="28"/>
      <c r="H766" s="28"/>
      <c r="I766" s="28"/>
      <c r="J766" s="28"/>
      <c r="K766" s="28"/>
      <c r="L766" s="28"/>
      <c r="M766" s="28"/>
      <c r="N766" s="28"/>
      <c r="O766" s="28"/>
      <c r="P766" s="28"/>
      <c r="Q766" s="28"/>
      <c r="R766" s="28"/>
      <c r="S766" s="28"/>
      <c r="T766" s="28"/>
      <c r="U766" s="7"/>
      <c r="V766" s="28"/>
      <c r="W766" s="28"/>
      <c r="X766" s="2"/>
      <c r="Y766" s="2"/>
      <c r="Z766" s="2"/>
    </row>
    <row r="767" spans="1:26" ht="19.5" customHeight="1">
      <c r="A767" s="28"/>
      <c r="B767" s="28"/>
      <c r="C767" s="28"/>
      <c r="D767" s="29"/>
      <c r="E767" s="29"/>
      <c r="F767" s="28"/>
      <c r="G767" s="28"/>
      <c r="H767" s="28"/>
      <c r="I767" s="28"/>
      <c r="J767" s="28"/>
      <c r="K767" s="28"/>
      <c r="L767" s="28"/>
      <c r="M767" s="28"/>
      <c r="N767" s="28"/>
      <c r="O767" s="28"/>
      <c r="P767" s="28"/>
      <c r="Q767" s="28"/>
      <c r="R767" s="28"/>
      <c r="S767" s="28"/>
      <c r="T767" s="28"/>
      <c r="U767" s="7"/>
      <c r="V767" s="28"/>
      <c r="W767" s="28"/>
      <c r="X767" s="2"/>
      <c r="Y767" s="2"/>
      <c r="Z767" s="2"/>
    </row>
    <row r="768" spans="1:26" ht="19.5" customHeight="1">
      <c r="A768" s="28"/>
      <c r="B768" s="28"/>
      <c r="C768" s="28"/>
      <c r="D768" s="29"/>
      <c r="E768" s="29"/>
      <c r="F768" s="28"/>
      <c r="G768" s="28"/>
      <c r="H768" s="28"/>
      <c r="I768" s="28"/>
      <c r="J768" s="28"/>
      <c r="K768" s="28"/>
      <c r="L768" s="28"/>
      <c r="M768" s="28"/>
      <c r="N768" s="28"/>
      <c r="O768" s="28"/>
      <c r="P768" s="28"/>
      <c r="Q768" s="28"/>
      <c r="R768" s="28"/>
      <c r="S768" s="28"/>
      <c r="T768" s="28"/>
      <c r="U768" s="7"/>
      <c r="V768" s="28"/>
      <c r="W768" s="28"/>
      <c r="X768" s="2"/>
      <c r="Y768" s="2"/>
      <c r="Z768" s="2"/>
    </row>
    <row r="769" spans="1:26" ht="19.5" customHeight="1">
      <c r="A769" s="28"/>
      <c r="B769" s="28"/>
      <c r="C769" s="28"/>
      <c r="D769" s="29"/>
      <c r="E769" s="29"/>
      <c r="F769" s="28"/>
      <c r="G769" s="28"/>
      <c r="H769" s="28"/>
      <c r="I769" s="28"/>
      <c r="J769" s="28"/>
      <c r="K769" s="28"/>
      <c r="L769" s="28"/>
      <c r="M769" s="28"/>
      <c r="N769" s="28"/>
      <c r="O769" s="28"/>
      <c r="P769" s="28"/>
      <c r="Q769" s="28"/>
      <c r="R769" s="28"/>
      <c r="S769" s="28"/>
      <c r="T769" s="28"/>
      <c r="U769" s="7"/>
      <c r="V769" s="28"/>
      <c r="W769" s="28"/>
      <c r="X769" s="2"/>
      <c r="Y769" s="2"/>
      <c r="Z769" s="2"/>
    </row>
    <row r="770" spans="1:26" ht="19.5" customHeight="1">
      <c r="A770" s="28"/>
      <c r="B770" s="28"/>
      <c r="C770" s="28"/>
      <c r="D770" s="29"/>
      <c r="E770" s="29"/>
      <c r="F770" s="28"/>
      <c r="G770" s="28"/>
      <c r="H770" s="28"/>
      <c r="I770" s="28"/>
      <c r="J770" s="28"/>
      <c r="K770" s="28"/>
      <c r="L770" s="28"/>
      <c r="M770" s="28"/>
      <c r="N770" s="28"/>
      <c r="O770" s="28"/>
      <c r="P770" s="28"/>
      <c r="Q770" s="28"/>
      <c r="R770" s="28"/>
      <c r="S770" s="28"/>
      <c r="T770" s="28"/>
      <c r="U770" s="7"/>
      <c r="V770" s="28"/>
      <c r="W770" s="28"/>
      <c r="X770" s="2"/>
      <c r="Y770" s="2"/>
      <c r="Z770" s="2"/>
    </row>
    <row r="771" spans="1:26" ht="19.5" customHeight="1">
      <c r="A771" s="28"/>
      <c r="B771" s="28"/>
      <c r="C771" s="28"/>
      <c r="D771" s="29"/>
      <c r="E771" s="29"/>
      <c r="F771" s="28"/>
      <c r="G771" s="28"/>
      <c r="H771" s="28"/>
      <c r="I771" s="28"/>
      <c r="J771" s="28"/>
      <c r="K771" s="28"/>
      <c r="L771" s="28"/>
      <c r="M771" s="28"/>
      <c r="N771" s="28"/>
      <c r="O771" s="28"/>
      <c r="P771" s="28"/>
      <c r="Q771" s="28"/>
      <c r="R771" s="28"/>
      <c r="S771" s="28"/>
      <c r="T771" s="28"/>
      <c r="U771" s="7"/>
      <c r="V771" s="28"/>
      <c r="W771" s="28"/>
      <c r="X771" s="2"/>
      <c r="Y771" s="2"/>
      <c r="Z771" s="2"/>
    </row>
    <row r="772" spans="1:26" ht="19.5" customHeight="1">
      <c r="A772" s="28"/>
      <c r="B772" s="28"/>
      <c r="C772" s="28"/>
      <c r="D772" s="29"/>
      <c r="E772" s="29"/>
      <c r="F772" s="28"/>
      <c r="G772" s="28"/>
      <c r="H772" s="28"/>
      <c r="I772" s="28"/>
      <c r="J772" s="28"/>
      <c r="K772" s="28"/>
      <c r="L772" s="28"/>
      <c r="M772" s="28"/>
      <c r="N772" s="28"/>
      <c r="O772" s="28"/>
      <c r="P772" s="28"/>
      <c r="Q772" s="28"/>
      <c r="R772" s="28"/>
      <c r="S772" s="28"/>
      <c r="T772" s="28"/>
      <c r="U772" s="7"/>
      <c r="V772" s="28"/>
      <c r="W772" s="28"/>
      <c r="X772" s="2"/>
      <c r="Y772" s="2"/>
      <c r="Z772" s="2"/>
    </row>
    <row r="773" spans="1:26" ht="19.5" customHeight="1">
      <c r="A773" s="28"/>
      <c r="B773" s="28"/>
      <c r="C773" s="28"/>
      <c r="D773" s="29"/>
      <c r="E773" s="29"/>
      <c r="F773" s="28"/>
      <c r="G773" s="28"/>
      <c r="H773" s="28"/>
      <c r="I773" s="28"/>
      <c r="J773" s="28"/>
      <c r="K773" s="28"/>
      <c r="L773" s="28"/>
      <c r="M773" s="28"/>
      <c r="N773" s="28"/>
      <c r="O773" s="28"/>
      <c r="P773" s="28"/>
      <c r="Q773" s="28"/>
      <c r="R773" s="28"/>
      <c r="S773" s="28"/>
      <c r="T773" s="28"/>
      <c r="U773" s="7"/>
      <c r="V773" s="28"/>
      <c r="W773" s="28"/>
      <c r="X773" s="2"/>
      <c r="Y773" s="2"/>
      <c r="Z773" s="2"/>
    </row>
    <row r="774" spans="1:26" ht="19.5" customHeight="1">
      <c r="A774" s="28"/>
      <c r="B774" s="28"/>
      <c r="C774" s="28"/>
      <c r="D774" s="29"/>
      <c r="E774" s="29"/>
      <c r="F774" s="28"/>
      <c r="G774" s="28"/>
      <c r="H774" s="28"/>
      <c r="I774" s="28"/>
      <c r="J774" s="28"/>
      <c r="K774" s="28"/>
      <c r="L774" s="28"/>
      <c r="M774" s="28"/>
      <c r="N774" s="28"/>
      <c r="O774" s="28"/>
      <c r="P774" s="28"/>
      <c r="Q774" s="28"/>
      <c r="R774" s="28"/>
      <c r="S774" s="28"/>
      <c r="T774" s="28"/>
      <c r="U774" s="7"/>
      <c r="V774" s="28"/>
      <c r="W774" s="28"/>
      <c r="X774" s="2"/>
      <c r="Y774" s="2"/>
      <c r="Z774" s="2"/>
    </row>
    <row r="775" spans="1:26" ht="19.5" customHeight="1">
      <c r="A775" s="28"/>
      <c r="B775" s="28"/>
      <c r="C775" s="28"/>
      <c r="D775" s="29"/>
      <c r="E775" s="29"/>
      <c r="F775" s="28"/>
      <c r="G775" s="28"/>
      <c r="H775" s="28"/>
      <c r="I775" s="28"/>
      <c r="J775" s="28"/>
      <c r="K775" s="28"/>
      <c r="L775" s="28"/>
      <c r="M775" s="28"/>
      <c r="N775" s="28"/>
      <c r="O775" s="28"/>
      <c r="P775" s="28"/>
      <c r="Q775" s="28"/>
      <c r="R775" s="28"/>
      <c r="S775" s="28"/>
      <c r="T775" s="28"/>
      <c r="U775" s="7"/>
      <c r="V775" s="28"/>
      <c r="W775" s="28"/>
      <c r="X775" s="2"/>
      <c r="Y775" s="2"/>
      <c r="Z775" s="2"/>
    </row>
    <row r="776" spans="1:26" ht="19.5" customHeight="1">
      <c r="A776" s="28"/>
      <c r="B776" s="28"/>
      <c r="C776" s="28"/>
      <c r="D776" s="29"/>
      <c r="E776" s="29"/>
      <c r="F776" s="28"/>
      <c r="G776" s="28"/>
      <c r="H776" s="28"/>
      <c r="I776" s="28"/>
      <c r="J776" s="28"/>
      <c r="K776" s="28"/>
      <c r="L776" s="28"/>
      <c r="M776" s="28"/>
      <c r="N776" s="28"/>
      <c r="O776" s="28"/>
      <c r="P776" s="28"/>
      <c r="Q776" s="28"/>
      <c r="R776" s="28"/>
      <c r="S776" s="28"/>
      <c r="T776" s="28"/>
      <c r="U776" s="7"/>
      <c r="V776" s="28"/>
      <c r="W776" s="28"/>
      <c r="X776" s="2"/>
      <c r="Y776" s="2"/>
      <c r="Z776" s="2"/>
    </row>
    <row r="777" spans="1:26" ht="19.5" customHeight="1">
      <c r="A777" s="28"/>
      <c r="B777" s="28"/>
      <c r="C777" s="28"/>
      <c r="D777" s="29"/>
      <c r="E777" s="29"/>
      <c r="F777" s="28"/>
      <c r="G777" s="28"/>
      <c r="H777" s="28"/>
      <c r="I777" s="28"/>
      <c r="J777" s="28"/>
      <c r="K777" s="28"/>
      <c r="L777" s="28"/>
      <c r="M777" s="28"/>
      <c r="N777" s="28"/>
      <c r="O777" s="28"/>
      <c r="P777" s="28"/>
      <c r="Q777" s="28"/>
      <c r="R777" s="28"/>
      <c r="S777" s="28"/>
      <c r="T777" s="28"/>
      <c r="U777" s="7"/>
      <c r="V777" s="28"/>
      <c r="W777" s="28"/>
      <c r="X777" s="2"/>
      <c r="Y777" s="2"/>
      <c r="Z777" s="2"/>
    </row>
    <row r="778" spans="1:26" ht="19.5" customHeight="1">
      <c r="A778" s="28"/>
      <c r="B778" s="28"/>
      <c r="C778" s="28"/>
      <c r="D778" s="29"/>
      <c r="E778" s="29"/>
      <c r="F778" s="28"/>
      <c r="G778" s="28"/>
      <c r="H778" s="28"/>
      <c r="I778" s="28"/>
      <c r="J778" s="28"/>
      <c r="K778" s="28"/>
      <c r="L778" s="28"/>
      <c r="M778" s="28"/>
      <c r="N778" s="28"/>
      <c r="O778" s="28"/>
      <c r="P778" s="28"/>
      <c r="Q778" s="28"/>
      <c r="R778" s="28"/>
      <c r="S778" s="28"/>
      <c r="T778" s="28"/>
      <c r="U778" s="7"/>
      <c r="V778" s="28"/>
      <c r="W778" s="28"/>
      <c r="X778" s="2"/>
      <c r="Y778" s="2"/>
      <c r="Z778" s="2"/>
    </row>
    <row r="779" spans="1:26" ht="19.5" customHeight="1">
      <c r="A779" s="28"/>
      <c r="B779" s="28"/>
      <c r="C779" s="28"/>
      <c r="D779" s="29"/>
      <c r="E779" s="29"/>
      <c r="F779" s="28"/>
      <c r="G779" s="28"/>
      <c r="H779" s="28"/>
      <c r="I779" s="28"/>
      <c r="J779" s="28"/>
      <c r="K779" s="28"/>
      <c r="L779" s="28"/>
      <c r="M779" s="28"/>
      <c r="N779" s="28"/>
      <c r="O779" s="28"/>
      <c r="P779" s="28"/>
      <c r="Q779" s="28"/>
      <c r="R779" s="28"/>
      <c r="S779" s="28"/>
      <c r="T779" s="28"/>
      <c r="U779" s="7"/>
      <c r="V779" s="28"/>
      <c r="W779" s="28"/>
      <c r="X779" s="2"/>
      <c r="Y779" s="2"/>
      <c r="Z779" s="2"/>
    </row>
    <row r="780" spans="1:26" ht="19.5" customHeight="1">
      <c r="A780" s="28"/>
      <c r="B780" s="28"/>
      <c r="C780" s="28"/>
      <c r="D780" s="29"/>
      <c r="E780" s="29"/>
      <c r="F780" s="28"/>
      <c r="G780" s="28"/>
      <c r="H780" s="28"/>
      <c r="I780" s="28"/>
      <c r="J780" s="28"/>
      <c r="K780" s="28"/>
      <c r="L780" s="28"/>
      <c r="M780" s="28"/>
      <c r="N780" s="28"/>
      <c r="O780" s="28"/>
      <c r="P780" s="28"/>
      <c r="Q780" s="28"/>
      <c r="R780" s="28"/>
      <c r="S780" s="28"/>
      <c r="T780" s="28"/>
      <c r="U780" s="7"/>
      <c r="V780" s="28"/>
      <c r="W780" s="28"/>
      <c r="X780" s="2"/>
      <c r="Y780" s="2"/>
      <c r="Z780" s="2"/>
    </row>
    <row r="781" spans="1:26" ht="19.5" customHeight="1">
      <c r="A781" s="28"/>
      <c r="B781" s="28"/>
      <c r="C781" s="28"/>
      <c r="D781" s="29"/>
      <c r="E781" s="29"/>
      <c r="F781" s="28"/>
      <c r="G781" s="28"/>
      <c r="H781" s="28"/>
      <c r="I781" s="28"/>
      <c r="J781" s="28"/>
      <c r="K781" s="28"/>
      <c r="L781" s="28"/>
      <c r="M781" s="28"/>
      <c r="N781" s="28"/>
      <c r="O781" s="28"/>
      <c r="P781" s="28"/>
      <c r="Q781" s="28"/>
      <c r="R781" s="28"/>
      <c r="S781" s="28"/>
      <c r="T781" s="28"/>
      <c r="U781" s="7"/>
      <c r="V781" s="28"/>
      <c r="W781" s="28"/>
      <c r="X781" s="2"/>
      <c r="Y781" s="2"/>
      <c r="Z781" s="2"/>
    </row>
    <row r="782" spans="1:26" ht="19.5" customHeight="1">
      <c r="A782" s="28"/>
      <c r="B782" s="28"/>
      <c r="C782" s="28"/>
      <c r="D782" s="29"/>
      <c r="E782" s="29"/>
      <c r="F782" s="28"/>
      <c r="G782" s="28"/>
      <c r="H782" s="28"/>
      <c r="I782" s="28"/>
      <c r="J782" s="28"/>
      <c r="K782" s="28"/>
      <c r="L782" s="28"/>
      <c r="M782" s="28"/>
      <c r="N782" s="28"/>
      <c r="O782" s="28"/>
      <c r="P782" s="28"/>
      <c r="Q782" s="28"/>
      <c r="R782" s="28"/>
      <c r="S782" s="28"/>
      <c r="T782" s="28"/>
      <c r="U782" s="7"/>
      <c r="V782" s="28"/>
      <c r="W782" s="28"/>
      <c r="X782" s="2"/>
      <c r="Y782" s="2"/>
      <c r="Z782" s="2"/>
    </row>
    <row r="783" spans="1:26" ht="19.5" customHeight="1">
      <c r="A783" s="28"/>
      <c r="B783" s="28"/>
      <c r="C783" s="28"/>
      <c r="D783" s="29"/>
      <c r="E783" s="29"/>
      <c r="F783" s="28"/>
      <c r="G783" s="28"/>
      <c r="H783" s="28"/>
      <c r="I783" s="28"/>
      <c r="J783" s="28"/>
      <c r="K783" s="28"/>
      <c r="L783" s="28"/>
      <c r="M783" s="28"/>
      <c r="N783" s="28"/>
      <c r="O783" s="28"/>
      <c r="P783" s="28"/>
      <c r="Q783" s="28"/>
      <c r="R783" s="28"/>
      <c r="S783" s="28"/>
      <c r="T783" s="28"/>
      <c r="U783" s="7"/>
      <c r="V783" s="28"/>
      <c r="W783" s="28"/>
      <c r="X783" s="2"/>
      <c r="Y783" s="2"/>
      <c r="Z783" s="2"/>
    </row>
    <row r="784" spans="1:26" ht="19.5" customHeight="1">
      <c r="A784" s="28"/>
      <c r="B784" s="28"/>
      <c r="C784" s="28"/>
      <c r="D784" s="29"/>
      <c r="E784" s="29"/>
      <c r="F784" s="28"/>
      <c r="G784" s="28"/>
      <c r="H784" s="28"/>
      <c r="I784" s="28"/>
      <c r="J784" s="28"/>
      <c r="K784" s="28"/>
      <c r="L784" s="28"/>
      <c r="M784" s="28"/>
      <c r="N784" s="28"/>
      <c r="O784" s="28"/>
      <c r="P784" s="28"/>
      <c r="Q784" s="28"/>
      <c r="R784" s="28"/>
      <c r="S784" s="28"/>
      <c r="T784" s="28"/>
      <c r="U784" s="7"/>
      <c r="V784" s="28"/>
      <c r="W784" s="28"/>
      <c r="X784" s="2"/>
      <c r="Y784" s="2"/>
      <c r="Z784" s="2"/>
    </row>
    <row r="785" spans="1:26" ht="19.5" customHeight="1">
      <c r="A785" s="28"/>
      <c r="B785" s="28"/>
      <c r="C785" s="28"/>
      <c r="D785" s="29"/>
      <c r="E785" s="29"/>
      <c r="F785" s="28"/>
      <c r="G785" s="28"/>
      <c r="H785" s="28"/>
      <c r="I785" s="28"/>
      <c r="J785" s="28"/>
      <c r="K785" s="28"/>
      <c r="L785" s="28"/>
      <c r="M785" s="28"/>
      <c r="N785" s="28"/>
      <c r="O785" s="28"/>
      <c r="P785" s="28"/>
      <c r="Q785" s="28"/>
      <c r="R785" s="28"/>
      <c r="S785" s="28"/>
      <c r="T785" s="28"/>
      <c r="U785" s="7"/>
      <c r="V785" s="28"/>
      <c r="W785" s="28"/>
      <c r="X785" s="2"/>
      <c r="Y785" s="2"/>
      <c r="Z785" s="2"/>
    </row>
    <row r="786" spans="1:26" ht="19.5" customHeight="1">
      <c r="A786" s="28"/>
      <c r="B786" s="28"/>
      <c r="C786" s="28"/>
      <c r="D786" s="29"/>
      <c r="E786" s="29"/>
      <c r="F786" s="28"/>
      <c r="G786" s="28"/>
      <c r="H786" s="28"/>
      <c r="I786" s="28"/>
      <c r="J786" s="28"/>
      <c r="K786" s="28"/>
      <c r="L786" s="28"/>
      <c r="M786" s="28"/>
      <c r="N786" s="28"/>
      <c r="O786" s="28"/>
      <c r="P786" s="28"/>
      <c r="Q786" s="28"/>
      <c r="R786" s="28"/>
      <c r="S786" s="28"/>
      <c r="T786" s="28"/>
      <c r="U786" s="7"/>
      <c r="V786" s="28"/>
      <c r="W786" s="28"/>
      <c r="X786" s="2"/>
      <c r="Y786" s="2"/>
      <c r="Z786" s="2"/>
    </row>
    <row r="787" spans="1:26" ht="19.5" customHeight="1">
      <c r="A787" s="28"/>
      <c r="B787" s="28"/>
      <c r="C787" s="28"/>
      <c r="D787" s="29"/>
      <c r="E787" s="29"/>
      <c r="F787" s="28"/>
      <c r="G787" s="28"/>
      <c r="H787" s="28"/>
      <c r="I787" s="28"/>
      <c r="J787" s="28"/>
      <c r="K787" s="28"/>
      <c r="L787" s="28"/>
      <c r="M787" s="28"/>
      <c r="N787" s="28"/>
      <c r="O787" s="28"/>
      <c r="P787" s="28"/>
      <c r="Q787" s="28"/>
      <c r="R787" s="28"/>
      <c r="S787" s="28"/>
      <c r="T787" s="28"/>
      <c r="U787" s="7"/>
      <c r="V787" s="28"/>
      <c r="W787" s="28"/>
      <c r="X787" s="2"/>
      <c r="Y787" s="2"/>
      <c r="Z787" s="2"/>
    </row>
    <row r="788" spans="1:26" ht="19.5" customHeight="1">
      <c r="A788" s="28"/>
      <c r="B788" s="28"/>
      <c r="C788" s="28"/>
      <c r="D788" s="29"/>
      <c r="E788" s="29"/>
      <c r="F788" s="28"/>
      <c r="G788" s="28"/>
      <c r="H788" s="28"/>
      <c r="I788" s="28"/>
      <c r="J788" s="28"/>
      <c r="K788" s="28"/>
      <c r="L788" s="28"/>
      <c r="M788" s="28"/>
      <c r="N788" s="28"/>
      <c r="O788" s="28"/>
      <c r="P788" s="28"/>
      <c r="Q788" s="28"/>
      <c r="R788" s="28"/>
      <c r="S788" s="28"/>
      <c r="T788" s="28"/>
      <c r="U788" s="7"/>
      <c r="V788" s="28"/>
      <c r="W788" s="28"/>
      <c r="X788" s="2"/>
      <c r="Y788" s="2"/>
      <c r="Z788" s="2"/>
    </row>
    <row r="789" spans="1:26" ht="19.5" customHeight="1">
      <c r="A789" s="28"/>
      <c r="B789" s="28"/>
      <c r="C789" s="28"/>
      <c r="D789" s="29"/>
      <c r="E789" s="29"/>
      <c r="F789" s="28"/>
      <c r="G789" s="28"/>
      <c r="H789" s="28"/>
      <c r="I789" s="28"/>
      <c r="J789" s="28"/>
      <c r="K789" s="28"/>
      <c r="L789" s="28"/>
      <c r="M789" s="28"/>
      <c r="N789" s="28"/>
      <c r="O789" s="28"/>
      <c r="P789" s="28"/>
      <c r="Q789" s="28"/>
      <c r="R789" s="28"/>
      <c r="S789" s="28"/>
      <c r="T789" s="28"/>
      <c r="U789" s="7"/>
      <c r="V789" s="28"/>
      <c r="W789" s="28"/>
      <c r="X789" s="2"/>
      <c r="Y789" s="2"/>
      <c r="Z789" s="2"/>
    </row>
    <row r="790" spans="1:26" ht="19.5" customHeight="1">
      <c r="A790" s="28"/>
      <c r="B790" s="28"/>
      <c r="C790" s="28"/>
      <c r="D790" s="29"/>
      <c r="E790" s="29"/>
      <c r="F790" s="28"/>
      <c r="G790" s="28"/>
      <c r="H790" s="28"/>
      <c r="I790" s="28"/>
      <c r="J790" s="28"/>
      <c r="K790" s="28"/>
      <c r="L790" s="28"/>
      <c r="M790" s="28"/>
      <c r="N790" s="28"/>
      <c r="O790" s="28"/>
      <c r="P790" s="28"/>
      <c r="Q790" s="28"/>
      <c r="R790" s="28"/>
      <c r="S790" s="28"/>
      <c r="T790" s="28"/>
      <c r="U790" s="7"/>
      <c r="V790" s="28"/>
      <c r="W790" s="28"/>
      <c r="X790" s="2"/>
      <c r="Y790" s="2"/>
      <c r="Z790" s="2"/>
    </row>
    <row r="791" spans="1:26" ht="19.5" customHeight="1">
      <c r="A791" s="28"/>
      <c r="B791" s="28"/>
      <c r="C791" s="28"/>
      <c r="D791" s="29"/>
      <c r="E791" s="29"/>
      <c r="F791" s="28"/>
      <c r="G791" s="28"/>
      <c r="H791" s="28"/>
      <c r="I791" s="28"/>
      <c r="J791" s="28"/>
      <c r="K791" s="28"/>
      <c r="L791" s="28"/>
      <c r="M791" s="28"/>
      <c r="N791" s="28"/>
      <c r="O791" s="28"/>
      <c r="P791" s="28"/>
      <c r="Q791" s="28"/>
      <c r="R791" s="28"/>
      <c r="S791" s="28"/>
      <c r="T791" s="28"/>
      <c r="U791" s="7"/>
      <c r="V791" s="28"/>
      <c r="W791" s="28"/>
      <c r="X791" s="2"/>
      <c r="Y791" s="2"/>
      <c r="Z791" s="2"/>
    </row>
    <row r="792" spans="1:26" ht="19.5" customHeight="1">
      <c r="A792" s="28"/>
      <c r="B792" s="28"/>
      <c r="C792" s="28"/>
      <c r="D792" s="29"/>
      <c r="E792" s="29"/>
      <c r="F792" s="28"/>
      <c r="G792" s="28"/>
      <c r="H792" s="28"/>
      <c r="I792" s="28"/>
      <c r="J792" s="28"/>
      <c r="K792" s="28"/>
      <c r="L792" s="28"/>
      <c r="M792" s="28"/>
      <c r="N792" s="28"/>
      <c r="O792" s="28"/>
      <c r="P792" s="28"/>
      <c r="Q792" s="28"/>
      <c r="R792" s="28"/>
      <c r="S792" s="28"/>
      <c r="T792" s="28"/>
      <c r="U792" s="7"/>
      <c r="V792" s="28"/>
      <c r="W792" s="28"/>
      <c r="X792" s="2"/>
      <c r="Y792" s="2"/>
      <c r="Z792" s="2"/>
    </row>
    <row r="793" spans="1:26" ht="19.5" customHeight="1">
      <c r="A793" s="28"/>
      <c r="B793" s="28"/>
      <c r="C793" s="28"/>
      <c r="D793" s="29"/>
      <c r="E793" s="29"/>
      <c r="F793" s="28"/>
      <c r="G793" s="28"/>
      <c r="H793" s="28"/>
      <c r="I793" s="28"/>
      <c r="J793" s="28"/>
      <c r="K793" s="28"/>
      <c r="L793" s="28"/>
      <c r="M793" s="28"/>
      <c r="N793" s="28"/>
      <c r="O793" s="28"/>
      <c r="P793" s="28"/>
      <c r="Q793" s="28"/>
      <c r="R793" s="28"/>
      <c r="S793" s="28"/>
      <c r="T793" s="28"/>
      <c r="U793" s="7"/>
      <c r="V793" s="28"/>
      <c r="W793" s="28"/>
      <c r="X793" s="2"/>
      <c r="Y793" s="2"/>
      <c r="Z793" s="2"/>
    </row>
    <row r="794" spans="1:26" ht="19.5" customHeight="1">
      <c r="A794" s="28"/>
      <c r="B794" s="28"/>
      <c r="C794" s="28"/>
      <c r="D794" s="29"/>
      <c r="E794" s="29"/>
      <c r="F794" s="28"/>
      <c r="G794" s="28"/>
      <c r="H794" s="28"/>
      <c r="I794" s="28"/>
      <c r="J794" s="28"/>
      <c r="K794" s="28"/>
      <c r="L794" s="28"/>
      <c r="M794" s="28"/>
      <c r="N794" s="28"/>
      <c r="O794" s="28"/>
      <c r="P794" s="28"/>
      <c r="Q794" s="28"/>
      <c r="R794" s="28"/>
      <c r="S794" s="28"/>
      <c r="T794" s="28"/>
      <c r="U794" s="7"/>
      <c r="V794" s="28"/>
      <c r="W794" s="28"/>
      <c r="X794" s="2"/>
      <c r="Y794" s="2"/>
      <c r="Z794" s="2"/>
    </row>
    <row r="795" spans="1:26" ht="19.5" customHeight="1">
      <c r="A795" s="28"/>
      <c r="B795" s="28"/>
      <c r="C795" s="28"/>
      <c r="D795" s="29"/>
      <c r="E795" s="29"/>
      <c r="F795" s="28"/>
      <c r="G795" s="28"/>
      <c r="H795" s="28"/>
      <c r="I795" s="28"/>
      <c r="J795" s="28"/>
      <c r="K795" s="28"/>
      <c r="L795" s="28"/>
      <c r="M795" s="28"/>
      <c r="N795" s="28"/>
      <c r="O795" s="28"/>
      <c r="P795" s="28"/>
      <c r="Q795" s="28"/>
      <c r="R795" s="28"/>
      <c r="S795" s="28"/>
      <c r="T795" s="28"/>
      <c r="U795" s="7"/>
      <c r="V795" s="28"/>
      <c r="W795" s="28"/>
      <c r="X795" s="2"/>
      <c r="Y795" s="2"/>
      <c r="Z795" s="2"/>
    </row>
    <row r="796" spans="1:26" ht="19.5" customHeight="1">
      <c r="A796" s="28"/>
      <c r="B796" s="28"/>
      <c r="C796" s="28"/>
      <c r="D796" s="29"/>
      <c r="E796" s="29"/>
      <c r="F796" s="28"/>
      <c r="G796" s="28"/>
      <c r="H796" s="28"/>
      <c r="I796" s="28"/>
      <c r="J796" s="28"/>
      <c r="K796" s="28"/>
      <c r="L796" s="28"/>
      <c r="M796" s="28"/>
      <c r="N796" s="28"/>
      <c r="O796" s="28"/>
      <c r="P796" s="28"/>
      <c r="Q796" s="28"/>
      <c r="R796" s="28"/>
      <c r="S796" s="28"/>
      <c r="T796" s="28"/>
      <c r="U796" s="7"/>
      <c r="V796" s="28"/>
      <c r="W796" s="28"/>
      <c r="X796" s="2"/>
      <c r="Y796" s="2"/>
      <c r="Z796" s="2"/>
    </row>
    <row r="797" spans="1:26" ht="19.5" customHeight="1">
      <c r="A797" s="28"/>
      <c r="B797" s="28"/>
      <c r="C797" s="28"/>
      <c r="D797" s="29"/>
      <c r="E797" s="29"/>
      <c r="F797" s="28"/>
      <c r="G797" s="28"/>
      <c r="H797" s="28"/>
      <c r="I797" s="28"/>
      <c r="J797" s="28"/>
      <c r="K797" s="28"/>
      <c r="L797" s="28"/>
      <c r="M797" s="28"/>
      <c r="N797" s="28"/>
      <c r="O797" s="28"/>
      <c r="P797" s="28"/>
      <c r="Q797" s="28"/>
      <c r="R797" s="28"/>
      <c r="S797" s="28"/>
      <c r="T797" s="28"/>
      <c r="U797" s="7"/>
      <c r="V797" s="28"/>
      <c r="W797" s="28"/>
      <c r="X797" s="2"/>
      <c r="Y797" s="2"/>
      <c r="Z797" s="2"/>
    </row>
    <row r="798" spans="1:26" ht="19.5" customHeight="1">
      <c r="A798" s="28"/>
      <c r="B798" s="28"/>
      <c r="C798" s="28"/>
      <c r="D798" s="29"/>
      <c r="E798" s="29"/>
      <c r="F798" s="28"/>
      <c r="G798" s="28"/>
      <c r="H798" s="28"/>
      <c r="I798" s="28"/>
      <c r="J798" s="28"/>
      <c r="K798" s="28"/>
      <c r="L798" s="28"/>
      <c r="M798" s="28"/>
      <c r="N798" s="28"/>
      <c r="O798" s="28"/>
      <c r="P798" s="28"/>
      <c r="Q798" s="28"/>
      <c r="R798" s="28"/>
      <c r="S798" s="28"/>
      <c r="T798" s="28"/>
      <c r="U798" s="7"/>
      <c r="V798" s="28"/>
      <c r="W798" s="28"/>
      <c r="X798" s="2"/>
      <c r="Y798" s="2"/>
      <c r="Z798" s="2"/>
    </row>
    <row r="799" spans="1:26" ht="19.5" customHeight="1">
      <c r="A799" s="28"/>
      <c r="B799" s="28"/>
      <c r="C799" s="28"/>
      <c r="D799" s="29"/>
      <c r="E799" s="29"/>
      <c r="F799" s="28"/>
      <c r="G799" s="28"/>
      <c r="H799" s="28"/>
      <c r="I799" s="28"/>
      <c r="J799" s="28"/>
      <c r="K799" s="28"/>
      <c r="L799" s="28"/>
      <c r="M799" s="28"/>
      <c r="N799" s="28"/>
      <c r="O799" s="28"/>
      <c r="P799" s="28"/>
      <c r="Q799" s="28"/>
      <c r="R799" s="28"/>
      <c r="S799" s="28"/>
      <c r="T799" s="28"/>
      <c r="U799" s="7"/>
      <c r="V799" s="28"/>
      <c r="W799" s="28"/>
      <c r="X799" s="2"/>
      <c r="Y799" s="2"/>
      <c r="Z799" s="2"/>
    </row>
    <row r="800" spans="1:26" ht="19.5" customHeight="1">
      <c r="A800" s="28"/>
      <c r="B800" s="28"/>
      <c r="C800" s="28"/>
      <c r="D800" s="29"/>
      <c r="E800" s="29"/>
      <c r="F800" s="28"/>
      <c r="G800" s="28"/>
      <c r="H800" s="28"/>
      <c r="I800" s="28"/>
      <c r="J800" s="28"/>
      <c r="K800" s="28"/>
      <c r="L800" s="28"/>
      <c r="M800" s="28"/>
      <c r="N800" s="28"/>
      <c r="O800" s="28"/>
      <c r="P800" s="28"/>
      <c r="Q800" s="28"/>
      <c r="R800" s="28"/>
      <c r="S800" s="28"/>
      <c r="T800" s="28"/>
      <c r="U800" s="7"/>
      <c r="V800" s="28"/>
      <c r="W800" s="28"/>
      <c r="X800" s="2"/>
      <c r="Y800" s="2"/>
      <c r="Z800" s="2"/>
    </row>
    <row r="801" spans="1:26" ht="19.5" customHeight="1">
      <c r="A801" s="28"/>
      <c r="B801" s="28"/>
      <c r="C801" s="28"/>
      <c r="D801" s="29"/>
      <c r="E801" s="29"/>
      <c r="F801" s="28"/>
      <c r="G801" s="28"/>
      <c r="H801" s="28"/>
      <c r="I801" s="28"/>
      <c r="J801" s="28"/>
      <c r="K801" s="28"/>
      <c r="L801" s="28"/>
      <c r="M801" s="28"/>
      <c r="N801" s="28"/>
      <c r="O801" s="28"/>
      <c r="P801" s="28"/>
      <c r="Q801" s="28"/>
      <c r="R801" s="28"/>
      <c r="S801" s="28"/>
      <c r="T801" s="28"/>
      <c r="U801" s="7"/>
      <c r="V801" s="28"/>
      <c r="W801" s="28"/>
      <c r="X801" s="2"/>
      <c r="Y801" s="2"/>
      <c r="Z801" s="2"/>
    </row>
    <row r="802" spans="1:26" ht="19.5" customHeight="1">
      <c r="A802" s="28"/>
      <c r="B802" s="28"/>
      <c r="C802" s="28"/>
      <c r="D802" s="29"/>
      <c r="E802" s="29"/>
      <c r="F802" s="28"/>
      <c r="G802" s="28"/>
      <c r="H802" s="28"/>
      <c r="I802" s="28"/>
      <c r="J802" s="28"/>
      <c r="K802" s="28"/>
      <c r="L802" s="28"/>
      <c r="M802" s="28"/>
      <c r="N802" s="28"/>
      <c r="O802" s="28"/>
      <c r="P802" s="28"/>
      <c r="Q802" s="28"/>
      <c r="R802" s="28"/>
      <c r="S802" s="28"/>
      <c r="T802" s="28"/>
      <c r="U802" s="7"/>
      <c r="V802" s="28"/>
      <c r="W802" s="28"/>
      <c r="X802" s="2"/>
      <c r="Y802" s="2"/>
      <c r="Z802" s="2"/>
    </row>
    <row r="803" spans="1:26" ht="19.5" customHeight="1">
      <c r="A803" s="28"/>
      <c r="B803" s="28"/>
      <c r="C803" s="28"/>
      <c r="D803" s="29"/>
      <c r="E803" s="29"/>
      <c r="F803" s="28"/>
      <c r="G803" s="28"/>
      <c r="H803" s="28"/>
      <c r="I803" s="28"/>
      <c r="J803" s="28"/>
      <c r="K803" s="28"/>
      <c r="L803" s="28"/>
      <c r="M803" s="28"/>
      <c r="N803" s="28"/>
      <c r="O803" s="28"/>
      <c r="P803" s="28"/>
      <c r="Q803" s="28"/>
      <c r="R803" s="28"/>
      <c r="S803" s="28"/>
      <c r="T803" s="28"/>
      <c r="U803" s="7"/>
      <c r="V803" s="28"/>
      <c r="W803" s="28"/>
      <c r="X803" s="2"/>
      <c r="Y803" s="2"/>
      <c r="Z803" s="2"/>
    </row>
    <row r="804" spans="1:26" ht="19.5" customHeight="1">
      <c r="A804" s="28"/>
      <c r="B804" s="28"/>
      <c r="C804" s="28"/>
      <c r="D804" s="29"/>
      <c r="E804" s="29"/>
      <c r="F804" s="28"/>
      <c r="G804" s="28"/>
      <c r="H804" s="28"/>
      <c r="I804" s="28"/>
      <c r="J804" s="28"/>
      <c r="K804" s="28"/>
      <c r="L804" s="28"/>
      <c r="M804" s="28"/>
      <c r="N804" s="28"/>
      <c r="O804" s="28"/>
      <c r="P804" s="28"/>
      <c r="Q804" s="28"/>
      <c r="R804" s="28"/>
      <c r="S804" s="28"/>
      <c r="T804" s="28"/>
      <c r="U804" s="7"/>
      <c r="V804" s="28"/>
      <c r="W804" s="28"/>
      <c r="X804" s="2"/>
      <c r="Y804" s="2"/>
      <c r="Z804" s="2"/>
    </row>
    <row r="805" spans="1:26" ht="19.5" customHeight="1">
      <c r="A805" s="28"/>
      <c r="B805" s="28"/>
      <c r="C805" s="28"/>
      <c r="D805" s="29"/>
      <c r="E805" s="29"/>
      <c r="F805" s="28"/>
      <c r="G805" s="28"/>
      <c r="H805" s="28"/>
      <c r="I805" s="28"/>
      <c r="J805" s="28"/>
      <c r="K805" s="28"/>
      <c r="L805" s="28"/>
      <c r="M805" s="28"/>
      <c r="N805" s="28"/>
      <c r="O805" s="28"/>
      <c r="P805" s="28"/>
      <c r="Q805" s="28"/>
      <c r="R805" s="28"/>
      <c r="S805" s="28"/>
      <c r="T805" s="28"/>
      <c r="U805" s="7"/>
      <c r="V805" s="28"/>
      <c r="W805" s="28"/>
      <c r="X805" s="2"/>
      <c r="Y805" s="2"/>
      <c r="Z805" s="2"/>
    </row>
    <row r="806" spans="1:26" ht="19.5" customHeight="1">
      <c r="A806" s="28"/>
      <c r="B806" s="28"/>
      <c r="C806" s="28"/>
      <c r="D806" s="29"/>
      <c r="E806" s="29"/>
      <c r="F806" s="28"/>
      <c r="G806" s="28"/>
      <c r="H806" s="28"/>
      <c r="I806" s="28"/>
      <c r="J806" s="28"/>
      <c r="K806" s="28"/>
      <c r="L806" s="28"/>
      <c r="M806" s="28"/>
      <c r="N806" s="28"/>
      <c r="O806" s="28"/>
      <c r="P806" s="28"/>
      <c r="Q806" s="28"/>
      <c r="R806" s="28"/>
      <c r="S806" s="28"/>
      <c r="T806" s="28"/>
      <c r="U806" s="7"/>
      <c r="V806" s="28"/>
      <c r="W806" s="28"/>
      <c r="X806" s="2"/>
      <c r="Y806" s="2"/>
      <c r="Z806" s="2"/>
    </row>
    <row r="807" spans="1:26" ht="19.5" customHeight="1">
      <c r="A807" s="28"/>
      <c r="B807" s="28"/>
      <c r="C807" s="28"/>
      <c r="D807" s="29"/>
      <c r="E807" s="29"/>
      <c r="F807" s="28"/>
      <c r="G807" s="28"/>
      <c r="H807" s="28"/>
      <c r="I807" s="28"/>
      <c r="J807" s="28"/>
      <c r="K807" s="28"/>
      <c r="L807" s="28"/>
      <c r="M807" s="28"/>
      <c r="N807" s="28"/>
      <c r="O807" s="28"/>
      <c r="P807" s="28"/>
      <c r="Q807" s="28"/>
      <c r="R807" s="28"/>
      <c r="S807" s="28"/>
      <c r="T807" s="28"/>
      <c r="U807" s="7"/>
      <c r="V807" s="28"/>
      <c r="W807" s="28"/>
      <c r="X807" s="2"/>
      <c r="Y807" s="2"/>
      <c r="Z807" s="2"/>
    </row>
    <row r="808" spans="1:26" ht="19.5" customHeight="1">
      <c r="A808" s="28"/>
      <c r="B808" s="28"/>
      <c r="C808" s="28"/>
      <c r="D808" s="29"/>
      <c r="E808" s="29"/>
      <c r="F808" s="28"/>
      <c r="G808" s="28"/>
      <c r="H808" s="28"/>
      <c r="I808" s="28"/>
      <c r="J808" s="28"/>
      <c r="K808" s="28"/>
      <c r="L808" s="28"/>
      <c r="M808" s="28"/>
      <c r="N808" s="28"/>
      <c r="O808" s="28"/>
      <c r="P808" s="28"/>
      <c r="Q808" s="28"/>
      <c r="R808" s="28"/>
      <c r="S808" s="28"/>
      <c r="T808" s="28"/>
      <c r="U808" s="7"/>
      <c r="V808" s="28"/>
      <c r="W808" s="28"/>
      <c r="X808" s="2"/>
      <c r="Y808" s="2"/>
      <c r="Z808" s="2"/>
    </row>
    <row r="809" spans="1:26" ht="19.5" customHeight="1">
      <c r="A809" s="28"/>
      <c r="B809" s="28"/>
      <c r="C809" s="28"/>
      <c r="D809" s="29"/>
      <c r="E809" s="29"/>
      <c r="F809" s="28"/>
      <c r="G809" s="28"/>
      <c r="H809" s="28"/>
      <c r="I809" s="28"/>
      <c r="J809" s="28"/>
      <c r="K809" s="28"/>
      <c r="L809" s="28"/>
      <c r="M809" s="28"/>
      <c r="N809" s="28"/>
      <c r="O809" s="28"/>
      <c r="P809" s="28"/>
      <c r="Q809" s="28"/>
      <c r="R809" s="28"/>
      <c r="S809" s="28"/>
      <c r="T809" s="28"/>
      <c r="U809" s="7"/>
      <c r="V809" s="28"/>
      <c r="W809" s="28"/>
      <c r="X809" s="2"/>
      <c r="Y809" s="2"/>
      <c r="Z809" s="2"/>
    </row>
    <row r="810" spans="1:26" ht="19.5" customHeight="1">
      <c r="A810" s="28"/>
      <c r="B810" s="28"/>
      <c r="C810" s="28"/>
      <c r="D810" s="29"/>
      <c r="E810" s="29"/>
      <c r="F810" s="28"/>
      <c r="G810" s="28"/>
      <c r="H810" s="28"/>
      <c r="I810" s="28"/>
      <c r="J810" s="28"/>
      <c r="K810" s="28"/>
      <c r="L810" s="28"/>
      <c r="M810" s="28"/>
      <c r="N810" s="28"/>
      <c r="O810" s="28"/>
      <c r="P810" s="28"/>
      <c r="Q810" s="28"/>
      <c r="R810" s="28"/>
      <c r="S810" s="28"/>
      <c r="T810" s="28"/>
      <c r="U810" s="7"/>
      <c r="V810" s="28"/>
      <c r="W810" s="28"/>
      <c r="X810" s="2"/>
      <c r="Y810" s="2"/>
      <c r="Z810" s="2"/>
    </row>
    <row r="811" spans="1:26" ht="19.5" customHeight="1">
      <c r="A811" s="28"/>
      <c r="B811" s="28"/>
      <c r="C811" s="28"/>
      <c r="D811" s="29"/>
      <c r="E811" s="29"/>
      <c r="F811" s="28"/>
      <c r="G811" s="28"/>
      <c r="H811" s="28"/>
      <c r="I811" s="28"/>
      <c r="J811" s="28"/>
      <c r="K811" s="28"/>
      <c r="L811" s="28"/>
      <c r="M811" s="28"/>
      <c r="N811" s="28"/>
      <c r="O811" s="28"/>
      <c r="P811" s="28"/>
      <c r="Q811" s="28"/>
      <c r="R811" s="28"/>
      <c r="S811" s="28"/>
      <c r="T811" s="28"/>
      <c r="U811" s="7"/>
      <c r="V811" s="28"/>
      <c r="W811" s="28"/>
      <c r="X811" s="2"/>
      <c r="Y811" s="2"/>
      <c r="Z811" s="2"/>
    </row>
    <row r="812" spans="1:26" ht="19.5" customHeight="1">
      <c r="A812" s="28"/>
      <c r="B812" s="28"/>
      <c r="C812" s="28"/>
      <c r="D812" s="29"/>
      <c r="E812" s="29"/>
      <c r="F812" s="28"/>
      <c r="G812" s="28"/>
      <c r="H812" s="28"/>
      <c r="I812" s="28"/>
      <c r="J812" s="28"/>
      <c r="K812" s="28"/>
      <c r="L812" s="28"/>
      <c r="M812" s="28"/>
      <c r="N812" s="28"/>
      <c r="O812" s="28"/>
      <c r="P812" s="28"/>
      <c r="Q812" s="28"/>
      <c r="R812" s="28"/>
      <c r="S812" s="28"/>
      <c r="T812" s="28"/>
      <c r="U812" s="7"/>
      <c r="V812" s="28"/>
      <c r="W812" s="28"/>
      <c r="X812" s="2"/>
      <c r="Y812" s="2"/>
      <c r="Z812" s="2"/>
    </row>
    <row r="813" spans="1:26" ht="19.5" customHeight="1">
      <c r="A813" s="28"/>
      <c r="B813" s="28"/>
      <c r="C813" s="28"/>
      <c r="D813" s="29"/>
      <c r="E813" s="29"/>
      <c r="F813" s="28"/>
      <c r="G813" s="28"/>
      <c r="H813" s="28"/>
      <c r="I813" s="28"/>
      <c r="J813" s="28"/>
      <c r="K813" s="28"/>
      <c r="L813" s="28"/>
      <c r="M813" s="28"/>
      <c r="N813" s="28"/>
      <c r="O813" s="28"/>
      <c r="P813" s="28"/>
      <c r="Q813" s="28"/>
      <c r="R813" s="28"/>
      <c r="S813" s="28"/>
      <c r="T813" s="28"/>
      <c r="U813" s="7"/>
      <c r="V813" s="28"/>
      <c r="W813" s="28"/>
      <c r="X813" s="2"/>
      <c r="Y813" s="2"/>
      <c r="Z813" s="2"/>
    </row>
    <row r="814" spans="1:26" ht="19.5" customHeight="1">
      <c r="A814" s="28"/>
      <c r="B814" s="28"/>
      <c r="C814" s="28"/>
      <c r="D814" s="29"/>
      <c r="E814" s="29"/>
      <c r="F814" s="28"/>
      <c r="G814" s="28"/>
      <c r="H814" s="28"/>
      <c r="I814" s="28"/>
      <c r="J814" s="28"/>
      <c r="K814" s="28"/>
      <c r="L814" s="28"/>
      <c r="M814" s="28"/>
      <c r="N814" s="28"/>
      <c r="O814" s="28"/>
      <c r="P814" s="28"/>
      <c r="Q814" s="28"/>
      <c r="R814" s="28"/>
      <c r="S814" s="28"/>
      <c r="T814" s="28"/>
      <c r="U814" s="7"/>
      <c r="V814" s="28"/>
      <c r="W814" s="28"/>
      <c r="X814" s="2"/>
      <c r="Y814" s="2"/>
      <c r="Z814" s="2"/>
    </row>
    <row r="815" spans="1:26" ht="19.5" customHeight="1">
      <c r="A815" s="28"/>
      <c r="B815" s="28"/>
      <c r="C815" s="28"/>
      <c r="D815" s="29"/>
      <c r="E815" s="29"/>
      <c r="F815" s="28"/>
      <c r="G815" s="28"/>
      <c r="H815" s="28"/>
      <c r="I815" s="28"/>
      <c r="J815" s="28"/>
      <c r="K815" s="28"/>
      <c r="L815" s="28"/>
      <c r="M815" s="28"/>
      <c r="N815" s="28"/>
      <c r="O815" s="28"/>
      <c r="P815" s="28"/>
      <c r="Q815" s="28"/>
      <c r="R815" s="28"/>
      <c r="S815" s="28"/>
      <c r="T815" s="28"/>
      <c r="U815" s="7"/>
      <c r="V815" s="28"/>
      <c r="W815" s="28"/>
      <c r="X815" s="2"/>
      <c r="Y815" s="2"/>
      <c r="Z815" s="2"/>
    </row>
    <row r="816" spans="1:26" ht="19.5" customHeight="1">
      <c r="A816" s="28"/>
      <c r="B816" s="28"/>
      <c r="C816" s="28"/>
      <c r="D816" s="29"/>
      <c r="E816" s="29"/>
      <c r="F816" s="28"/>
      <c r="G816" s="28"/>
      <c r="H816" s="28"/>
      <c r="I816" s="28"/>
      <c r="J816" s="28"/>
      <c r="K816" s="28"/>
      <c r="L816" s="28"/>
      <c r="M816" s="28"/>
      <c r="N816" s="28"/>
      <c r="O816" s="28"/>
      <c r="P816" s="28"/>
      <c r="Q816" s="28"/>
      <c r="R816" s="28"/>
      <c r="S816" s="28"/>
      <c r="T816" s="28"/>
      <c r="U816" s="7"/>
      <c r="V816" s="28"/>
      <c r="W816" s="28"/>
      <c r="X816" s="2"/>
      <c r="Y816" s="2"/>
      <c r="Z816" s="2"/>
    </row>
    <row r="817" spans="1:26" ht="19.5" customHeight="1">
      <c r="A817" s="28"/>
      <c r="B817" s="28"/>
      <c r="C817" s="28"/>
      <c r="D817" s="29"/>
      <c r="E817" s="29"/>
      <c r="F817" s="28"/>
      <c r="G817" s="28"/>
      <c r="H817" s="28"/>
      <c r="I817" s="28"/>
      <c r="J817" s="28"/>
      <c r="K817" s="28"/>
      <c r="L817" s="28"/>
      <c r="M817" s="28"/>
      <c r="N817" s="28"/>
      <c r="O817" s="28"/>
      <c r="P817" s="28"/>
      <c r="Q817" s="28"/>
      <c r="R817" s="28"/>
      <c r="S817" s="28"/>
      <c r="T817" s="28"/>
      <c r="U817" s="7"/>
      <c r="V817" s="28"/>
      <c r="W817" s="28"/>
      <c r="X817" s="2"/>
      <c r="Y817" s="2"/>
      <c r="Z817" s="2"/>
    </row>
    <row r="818" spans="1:26" ht="19.5" customHeight="1">
      <c r="A818" s="28"/>
      <c r="B818" s="28"/>
      <c r="C818" s="28"/>
      <c r="D818" s="29"/>
      <c r="E818" s="29"/>
      <c r="F818" s="28"/>
      <c r="G818" s="28"/>
      <c r="H818" s="28"/>
      <c r="I818" s="28"/>
      <c r="J818" s="28"/>
      <c r="K818" s="28"/>
      <c r="L818" s="28"/>
      <c r="M818" s="28"/>
      <c r="N818" s="28"/>
      <c r="O818" s="28"/>
      <c r="P818" s="28"/>
      <c r="Q818" s="28"/>
      <c r="R818" s="28"/>
      <c r="S818" s="28"/>
      <c r="T818" s="28"/>
      <c r="U818" s="7"/>
      <c r="V818" s="28"/>
      <c r="W818" s="28"/>
      <c r="X818" s="2"/>
      <c r="Y818" s="2"/>
      <c r="Z818" s="2"/>
    </row>
    <row r="819" spans="1:26" ht="19.5" customHeight="1">
      <c r="A819" s="28"/>
      <c r="B819" s="28"/>
      <c r="C819" s="28"/>
      <c r="D819" s="29"/>
      <c r="E819" s="29"/>
      <c r="F819" s="28"/>
      <c r="G819" s="28"/>
      <c r="H819" s="28"/>
      <c r="I819" s="28"/>
      <c r="J819" s="28"/>
      <c r="K819" s="28"/>
      <c r="L819" s="28"/>
      <c r="M819" s="28"/>
      <c r="N819" s="28"/>
      <c r="O819" s="28"/>
      <c r="P819" s="28"/>
      <c r="Q819" s="28"/>
      <c r="R819" s="28"/>
      <c r="S819" s="28"/>
      <c r="T819" s="28"/>
      <c r="U819" s="7"/>
      <c r="V819" s="28"/>
      <c r="W819" s="28"/>
      <c r="X819" s="2"/>
      <c r="Y819" s="2"/>
      <c r="Z819" s="2"/>
    </row>
    <row r="820" spans="1:26" ht="19.5" customHeight="1">
      <c r="A820" s="28"/>
      <c r="B820" s="28"/>
      <c r="C820" s="28"/>
      <c r="D820" s="29"/>
      <c r="E820" s="29"/>
      <c r="F820" s="28"/>
      <c r="G820" s="28"/>
      <c r="H820" s="28"/>
      <c r="I820" s="28"/>
      <c r="J820" s="28"/>
      <c r="K820" s="28"/>
      <c r="L820" s="28"/>
      <c r="M820" s="28"/>
      <c r="N820" s="28"/>
      <c r="O820" s="28"/>
      <c r="P820" s="28"/>
      <c r="Q820" s="28"/>
      <c r="R820" s="28"/>
      <c r="S820" s="28"/>
      <c r="T820" s="28"/>
      <c r="U820" s="7"/>
      <c r="V820" s="28"/>
      <c r="W820" s="28"/>
      <c r="X820" s="2"/>
      <c r="Y820" s="2"/>
      <c r="Z820" s="2"/>
    </row>
    <row r="821" spans="1:26" ht="19.5" customHeight="1">
      <c r="A821" s="28"/>
      <c r="B821" s="28"/>
      <c r="C821" s="28"/>
      <c r="D821" s="29"/>
      <c r="E821" s="29"/>
      <c r="F821" s="28"/>
      <c r="G821" s="28"/>
      <c r="H821" s="28"/>
      <c r="I821" s="28"/>
      <c r="J821" s="28"/>
      <c r="K821" s="28"/>
      <c r="L821" s="28"/>
      <c r="M821" s="28"/>
      <c r="N821" s="28"/>
      <c r="O821" s="28"/>
      <c r="P821" s="28"/>
      <c r="Q821" s="28"/>
      <c r="R821" s="28"/>
      <c r="S821" s="28"/>
      <c r="T821" s="28"/>
      <c r="U821" s="7"/>
      <c r="V821" s="28"/>
      <c r="W821" s="28"/>
      <c r="X821" s="2"/>
      <c r="Y821" s="2"/>
      <c r="Z821" s="2"/>
    </row>
    <row r="822" spans="1:26" ht="19.5" customHeight="1">
      <c r="A822" s="28"/>
      <c r="B822" s="28"/>
      <c r="C822" s="28"/>
      <c r="D822" s="29"/>
      <c r="E822" s="29"/>
      <c r="F822" s="28"/>
      <c r="G822" s="28"/>
      <c r="H822" s="28"/>
      <c r="I822" s="28"/>
      <c r="J822" s="28"/>
      <c r="K822" s="28"/>
      <c r="L822" s="28"/>
      <c r="M822" s="28"/>
      <c r="N822" s="28"/>
      <c r="O822" s="28"/>
      <c r="P822" s="28"/>
      <c r="Q822" s="28"/>
      <c r="R822" s="28"/>
      <c r="S822" s="28"/>
      <c r="T822" s="28"/>
      <c r="U822" s="7"/>
      <c r="V822" s="28"/>
      <c r="W822" s="28"/>
      <c r="X822" s="2"/>
      <c r="Y822" s="2"/>
      <c r="Z822" s="2"/>
    </row>
    <row r="823" spans="1:26" ht="19.5" customHeight="1">
      <c r="A823" s="28"/>
      <c r="B823" s="28"/>
      <c r="C823" s="28"/>
      <c r="D823" s="29"/>
      <c r="E823" s="29"/>
      <c r="F823" s="28"/>
      <c r="G823" s="28"/>
      <c r="H823" s="28"/>
      <c r="I823" s="28"/>
      <c r="J823" s="28"/>
      <c r="K823" s="28"/>
      <c r="L823" s="28"/>
      <c r="M823" s="28"/>
      <c r="N823" s="28"/>
      <c r="O823" s="28"/>
      <c r="P823" s="28"/>
      <c r="Q823" s="28"/>
      <c r="R823" s="28"/>
      <c r="S823" s="28"/>
      <c r="T823" s="28"/>
      <c r="U823" s="7"/>
      <c r="V823" s="28"/>
      <c r="W823" s="28"/>
      <c r="X823" s="2"/>
      <c r="Y823" s="2"/>
      <c r="Z823" s="2"/>
    </row>
    <row r="824" spans="1:26" ht="19.5" customHeight="1">
      <c r="A824" s="28"/>
      <c r="B824" s="28"/>
      <c r="C824" s="28"/>
      <c r="D824" s="29"/>
      <c r="E824" s="29"/>
      <c r="F824" s="28"/>
      <c r="G824" s="28"/>
      <c r="H824" s="28"/>
      <c r="I824" s="28"/>
      <c r="J824" s="28"/>
      <c r="K824" s="28"/>
      <c r="L824" s="28"/>
      <c r="M824" s="28"/>
      <c r="N824" s="28"/>
      <c r="O824" s="28"/>
      <c r="P824" s="28"/>
      <c r="Q824" s="28"/>
      <c r="R824" s="28"/>
      <c r="S824" s="28"/>
      <c r="T824" s="28"/>
      <c r="U824" s="7"/>
      <c r="V824" s="28"/>
      <c r="W824" s="28"/>
      <c r="X824" s="2"/>
      <c r="Y824" s="2"/>
      <c r="Z824" s="2"/>
    </row>
    <row r="825" spans="1:26" ht="19.5" customHeight="1">
      <c r="A825" s="28"/>
      <c r="B825" s="28"/>
      <c r="C825" s="28"/>
      <c r="D825" s="29"/>
      <c r="E825" s="29"/>
      <c r="F825" s="28"/>
      <c r="G825" s="28"/>
      <c r="H825" s="28"/>
      <c r="I825" s="28"/>
      <c r="J825" s="28"/>
      <c r="K825" s="28"/>
      <c r="L825" s="28"/>
      <c r="M825" s="28"/>
      <c r="N825" s="28"/>
      <c r="O825" s="28"/>
      <c r="P825" s="28"/>
      <c r="Q825" s="28"/>
      <c r="R825" s="28"/>
      <c r="S825" s="28"/>
      <c r="T825" s="28"/>
      <c r="U825" s="7"/>
      <c r="V825" s="28"/>
      <c r="W825" s="28"/>
      <c r="X825" s="2"/>
      <c r="Y825" s="2"/>
      <c r="Z825" s="2"/>
    </row>
    <row r="826" spans="1:26" ht="19.5" customHeight="1">
      <c r="A826" s="28"/>
      <c r="B826" s="28"/>
      <c r="C826" s="28"/>
      <c r="D826" s="29"/>
      <c r="E826" s="29"/>
      <c r="F826" s="28"/>
      <c r="G826" s="28"/>
      <c r="H826" s="28"/>
      <c r="I826" s="28"/>
      <c r="J826" s="28"/>
      <c r="K826" s="28"/>
      <c r="L826" s="28"/>
      <c r="M826" s="28"/>
      <c r="N826" s="28"/>
      <c r="O826" s="28"/>
      <c r="P826" s="28"/>
      <c r="Q826" s="28"/>
      <c r="R826" s="28"/>
      <c r="S826" s="28"/>
      <c r="T826" s="28"/>
      <c r="U826" s="7"/>
      <c r="V826" s="28"/>
      <c r="W826" s="28"/>
      <c r="X826" s="2"/>
      <c r="Y826" s="2"/>
      <c r="Z826" s="2"/>
    </row>
    <row r="827" spans="1:26" ht="19.5" customHeight="1">
      <c r="A827" s="28"/>
      <c r="B827" s="28"/>
      <c r="C827" s="28"/>
      <c r="D827" s="29"/>
      <c r="E827" s="29"/>
      <c r="F827" s="28"/>
      <c r="G827" s="28"/>
      <c r="H827" s="28"/>
      <c r="I827" s="28"/>
      <c r="J827" s="28"/>
      <c r="K827" s="28"/>
      <c r="L827" s="28"/>
      <c r="M827" s="28"/>
      <c r="N827" s="28"/>
      <c r="O827" s="28"/>
      <c r="P827" s="28"/>
      <c r="Q827" s="28"/>
      <c r="R827" s="28"/>
      <c r="S827" s="28"/>
      <c r="T827" s="28"/>
      <c r="U827" s="7"/>
      <c r="V827" s="28"/>
      <c r="W827" s="28"/>
      <c r="X827" s="2"/>
      <c r="Y827" s="2"/>
      <c r="Z827" s="2"/>
    </row>
    <row r="828" spans="1:26" ht="19.5" customHeight="1">
      <c r="A828" s="28"/>
      <c r="B828" s="28"/>
      <c r="C828" s="28"/>
      <c r="D828" s="29"/>
      <c r="E828" s="29"/>
      <c r="F828" s="28"/>
      <c r="G828" s="28"/>
      <c r="H828" s="28"/>
      <c r="I828" s="28"/>
      <c r="J828" s="28"/>
      <c r="K828" s="28"/>
      <c r="L828" s="28"/>
      <c r="M828" s="28"/>
      <c r="N828" s="28"/>
      <c r="O828" s="28"/>
      <c r="P828" s="28"/>
      <c r="Q828" s="28"/>
      <c r="R828" s="28"/>
      <c r="S828" s="28"/>
      <c r="T828" s="28"/>
      <c r="U828" s="7"/>
      <c r="V828" s="28"/>
      <c r="W828" s="28"/>
      <c r="X828" s="2"/>
      <c r="Y828" s="2"/>
      <c r="Z828" s="2"/>
    </row>
    <row r="829" spans="1:26" ht="19.5" customHeight="1">
      <c r="A829" s="28"/>
      <c r="B829" s="28"/>
      <c r="C829" s="28"/>
      <c r="D829" s="29"/>
      <c r="E829" s="29"/>
      <c r="F829" s="28"/>
      <c r="G829" s="28"/>
      <c r="H829" s="28"/>
      <c r="I829" s="28"/>
      <c r="J829" s="28"/>
      <c r="K829" s="28"/>
      <c r="L829" s="28"/>
      <c r="M829" s="28"/>
      <c r="N829" s="28"/>
      <c r="O829" s="28"/>
      <c r="P829" s="28"/>
      <c r="Q829" s="28"/>
      <c r="R829" s="28"/>
      <c r="S829" s="28"/>
      <c r="T829" s="28"/>
      <c r="U829" s="7"/>
      <c r="V829" s="28"/>
      <c r="W829" s="28"/>
      <c r="X829" s="2"/>
      <c r="Y829" s="2"/>
      <c r="Z829" s="2"/>
    </row>
    <row r="830" spans="1:26" ht="19.5" customHeight="1">
      <c r="A830" s="28"/>
      <c r="B830" s="28"/>
      <c r="C830" s="28"/>
      <c r="D830" s="29"/>
      <c r="E830" s="29"/>
      <c r="F830" s="28"/>
      <c r="G830" s="28"/>
      <c r="H830" s="28"/>
      <c r="I830" s="28"/>
      <c r="J830" s="28"/>
      <c r="K830" s="28"/>
      <c r="L830" s="28"/>
      <c r="M830" s="28"/>
      <c r="N830" s="28"/>
      <c r="O830" s="28"/>
      <c r="P830" s="28"/>
      <c r="Q830" s="28"/>
      <c r="R830" s="28"/>
      <c r="S830" s="28"/>
      <c r="T830" s="28"/>
      <c r="U830" s="7"/>
      <c r="V830" s="28"/>
      <c r="W830" s="28"/>
      <c r="X830" s="2"/>
      <c r="Y830" s="2"/>
      <c r="Z830" s="2"/>
    </row>
    <row r="831" spans="1:26" ht="19.5" customHeight="1">
      <c r="A831" s="28"/>
      <c r="B831" s="28"/>
      <c r="C831" s="28"/>
      <c r="D831" s="29"/>
      <c r="E831" s="29"/>
      <c r="F831" s="28"/>
      <c r="G831" s="28"/>
      <c r="H831" s="28"/>
      <c r="I831" s="28"/>
      <c r="J831" s="28"/>
      <c r="K831" s="28"/>
      <c r="L831" s="28"/>
      <c r="M831" s="28"/>
      <c r="N831" s="28"/>
      <c r="O831" s="28"/>
      <c r="P831" s="28"/>
      <c r="Q831" s="28"/>
      <c r="R831" s="28"/>
      <c r="S831" s="28"/>
      <c r="T831" s="28"/>
      <c r="U831" s="7"/>
      <c r="V831" s="28"/>
      <c r="W831" s="28"/>
      <c r="X831" s="2"/>
      <c r="Y831" s="2"/>
      <c r="Z831" s="2"/>
    </row>
    <row r="832" spans="1:26" ht="19.5" customHeight="1">
      <c r="A832" s="28"/>
      <c r="B832" s="28"/>
      <c r="C832" s="28"/>
      <c r="D832" s="29"/>
      <c r="E832" s="29"/>
      <c r="F832" s="28"/>
      <c r="G832" s="28"/>
      <c r="H832" s="28"/>
      <c r="I832" s="28"/>
      <c r="J832" s="28"/>
      <c r="K832" s="28"/>
      <c r="L832" s="28"/>
      <c r="M832" s="28"/>
      <c r="N832" s="28"/>
      <c r="O832" s="28"/>
      <c r="P832" s="28"/>
      <c r="Q832" s="28"/>
      <c r="R832" s="28"/>
      <c r="S832" s="28"/>
      <c r="T832" s="28"/>
      <c r="U832" s="7"/>
      <c r="V832" s="28"/>
      <c r="W832" s="28"/>
      <c r="X832" s="2"/>
      <c r="Y832" s="2"/>
      <c r="Z832" s="2"/>
    </row>
    <row r="833" spans="1:26" ht="19.5" customHeight="1">
      <c r="A833" s="28"/>
      <c r="B833" s="28"/>
      <c r="C833" s="28"/>
      <c r="D833" s="29"/>
      <c r="E833" s="29"/>
      <c r="F833" s="28"/>
      <c r="G833" s="28"/>
      <c r="H833" s="28"/>
      <c r="I833" s="28"/>
      <c r="J833" s="28"/>
      <c r="K833" s="28"/>
      <c r="L833" s="28"/>
      <c r="M833" s="28"/>
      <c r="N833" s="28"/>
      <c r="O833" s="28"/>
      <c r="P833" s="28"/>
      <c r="Q833" s="28"/>
      <c r="R833" s="28"/>
      <c r="S833" s="28"/>
      <c r="T833" s="28"/>
      <c r="U833" s="7"/>
      <c r="V833" s="28"/>
      <c r="W833" s="28"/>
      <c r="X833" s="2"/>
      <c r="Y833" s="2"/>
      <c r="Z833" s="2"/>
    </row>
    <row r="834" spans="1:26" ht="19.5" customHeight="1">
      <c r="A834" s="28"/>
      <c r="B834" s="28"/>
      <c r="C834" s="28"/>
      <c r="D834" s="29"/>
      <c r="E834" s="29"/>
      <c r="F834" s="28"/>
      <c r="G834" s="28"/>
      <c r="H834" s="28"/>
      <c r="I834" s="28"/>
      <c r="J834" s="28"/>
      <c r="K834" s="28"/>
      <c r="L834" s="28"/>
      <c r="M834" s="28"/>
      <c r="N834" s="28"/>
      <c r="O834" s="28"/>
      <c r="P834" s="28"/>
      <c r="Q834" s="28"/>
      <c r="R834" s="28"/>
      <c r="S834" s="28"/>
      <c r="T834" s="28"/>
      <c r="U834" s="7"/>
      <c r="V834" s="28"/>
      <c r="W834" s="28"/>
      <c r="X834" s="2"/>
      <c r="Y834" s="2"/>
      <c r="Z834" s="2"/>
    </row>
    <row r="835" spans="1:26" ht="19.5" customHeight="1">
      <c r="A835" s="28"/>
      <c r="B835" s="28"/>
      <c r="C835" s="28"/>
      <c r="D835" s="29"/>
      <c r="E835" s="29"/>
      <c r="F835" s="28"/>
      <c r="G835" s="28"/>
      <c r="H835" s="28"/>
      <c r="I835" s="28"/>
      <c r="J835" s="28"/>
      <c r="K835" s="28"/>
      <c r="L835" s="28"/>
      <c r="M835" s="28"/>
      <c r="N835" s="28"/>
      <c r="O835" s="28"/>
      <c r="P835" s="28"/>
      <c r="Q835" s="28"/>
      <c r="R835" s="28"/>
      <c r="S835" s="28"/>
      <c r="T835" s="28"/>
      <c r="U835" s="7"/>
      <c r="V835" s="28"/>
      <c r="W835" s="28"/>
      <c r="X835" s="2"/>
      <c r="Y835" s="2"/>
      <c r="Z835" s="2"/>
    </row>
    <row r="836" spans="1:26" ht="19.5" customHeight="1">
      <c r="A836" s="28"/>
      <c r="B836" s="28"/>
      <c r="C836" s="28"/>
      <c r="D836" s="29"/>
      <c r="E836" s="29"/>
      <c r="F836" s="28"/>
      <c r="G836" s="28"/>
      <c r="H836" s="28"/>
      <c r="I836" s="28"/>
      <c r="J836" s="28"/>
      <c r="K836" s="28"/>
      <c r="L836" s="28"/>
      <c r="M836" s="28"/>
      <c r="N836" s="28"/>
      <c r="O836" s="28"/>
      <c r="P836" s="28"/>
      <c r="Q836" s="28"/>
      <c r="R836" s="28"/>
      <c r="S836" s="28"/>
      <c r="T836" s="28"/>
      <c r="U836" s="7"/>
      <c r="V836" s="28"/>
      <c r="W836" s="28"/>
      <c r="X836" s="2"/>
      <c r="Y836" s="2"/>
      <c r="Z836" s="2"/>
    </row>
    <row r="837" spans="1:26" ht="19.5" customHeight="1">
      <c r="A837" s="28"/>
      <c r="B837" s="28"/>
      <c r="C837" s="28"/>
      <c r="D837" s="29"/>
      <c r="E837" s="29"/>
      <c r="F837" s="28"/>
      <c r="G837" s="28"/>
      <c r="H837" s="28"/>
      <c r="I837" s="28"/>
      <c r="J837" s="28"/>
      <c r="K837" s="28"/>
      <c r="L837" s="28"/>
      <c r="M837" s="28"/>
      <c r="N837" s="28"/>
      <c r="O837" s="28"/>
      <c r="P837" s="28"/>
      <c r="Q837" s="28"/>
      <c r="R837" s="28"/>
      <c r="S837" s="28"/>
      <c r="T837" s="28"/>
      <c r="U837" s="7"/>
      <c r="V837" s="28"/>
      <c r="W837" s="28"/>
      <c r="X837" s="2"/>
      <c r="Y837" s="2"/>
      <c r="Z837" s="2"/>
    </row>
    <row r="838" spans="1:26" ht="19.5" customHeight="1">
      <c r="A838" s="28"/>
      <c r="B838" s="28"/>
      <c r="C838" s="28"/>
      <c r="D838" s="29"/>
      <c r="E838" s="29"/>
      <c r="F838" s="28"/>
      <c r="G838" s="28"/>
      <c r="H838" s="28"/>
      <c r="I838" s="28"/>
      <c r="J838" s="28"/>
      <c r="K838" s="28"/>
      <c r="L838" s="28"/>
      <c r="M838" s="28"/>
      <c r="N838" s="28"/>
      <c r="O838" s="28"/>
      <c r="P838" s="28"/>
      <c r="Q838" s="28"/>
      <c r="R838" s="28"/>
      <c r="S838" s="28"/>
      <c r="T838" s="28"/>
      <c r="U838" s="7"/>
      <c r="V838" s="28"/>
      <c r="W838" s="28"/>
      <c r="X838" s="2"/>
      <c r="Y838" s="2"/>
      <c r="Z838" s="2"/>
    </row>
    <row r="839" spans="1:26" ht="19.5" customHeight="1">
      <c r="A839" s="28"/>
      <c r="B839" s="28"/>
      <c r="C839" s="28"/>
      <c r="D839" s="29"/>
      <c r="E839" s="29"/>
      <c r="F839" s="28"/>
      <c r="G839" s="28"/>
      <c r="H839" s="28"/>
      <c r="I839" s="28"/>
      <c r="J839" s="28"/>
      <c r="K839" s="28"/>
      <c r="L839" s="28"/>
      <c r="M839" s="28"/>
      <c r="N839" s="28"/>
      <c r="O839" s="28"/>
      <c r="P839" s="28"/>
      <c r="Q839" s="28"/>
      <c r="R839" s="28"/>
      <c r="S839" s="28"/>
      <c r="T839" s="28"/>
      <c r="U839" s="7"/>
      <c r="V839" s="28"/>
      <c r="W839" s="28"/>
      <c r="X839" s="2"/>
      <c r="Y839" s="2"/>
      <c r="Z839" s="2"/>
    </row>
    <row r="840" spans="1:26" ht="19.5" customHeight="1">
      <c r="A840" s="28"/>
      <c r="B840" s="28"/>
      <c r="C840" s="28"/>
      <c r="D840" s="29"/>
      <c r="E840" s="29"/>
      <c r="F840" s="28"/>
      <c r="G840" s="28"/>
      <c r="H840" s="28"/>
      <c r="I840" s="28"/>
      <c r="J840" s="28"/>
      <c r="K840" s="28"/>
      <c r="L840" s="28"/>
      <c r="M840" s="28"/>
      <c r="N840" s="28"/>
      <c r="O840" s="28"/>
      <c r="P840" s="28"/>
      <c r="Q840" s="28"/>
      <c r="R840" s="28"/>
      <c r="S840" s="28"/>
      <c r="T840" s="28"/>
      <c r="U840" s="7"/>
      <c r="V840" s="28"/>
      <c r="W840" s="28"/>
      <c r="X840" s="2"/>
      <c r="Y840" s="2"/>
      <c r="Z840" s="2"/>
    </row>
    <row r="841" spans="1:26" ht="19.5" customHeight="1">
      <c r="A841" s="28"/>
      <c r="B841" s="28"/>
      <c r="C841" s="28"/>
      <c r="D841" s="29"/>
      <c r="E841" s="29"/>
      <c r="F841" s="28"/>
      <c r="G841" s="28"/>
      <c r="H841" s="28"/>
      <c r="I841" s="28"/>
      <c r="J841" s="28"/>
      <c r="K841" s="28"/>
      <c r="L841" s="28"/>
      <c r="M841" s="28"/>
      <c r="N841" s="28"/>
      <c r="O841" s="28"/>
      <c r="P841" s="28"/>
      <c r="Q841" s="28"/>
      <c r="R841" s="28"/>
      <c r="S841" s="28"/>
      <c r="T841" s="28"/>
      <c r="U841" s="7"/>
      <c r="V841" s="28"/>
      <c r="W841" s="28"/>
      <c r="X841" s="2"/>
      <c r="Y841" s="2"/>
      <c r="Z841" s="2"/>
    </row>
    <row r="842" spans="1:26" ht="19.5" customHeight="1">
      <c r="A842" s="28"/>
      <c r="B842" s="28"/>
      <c r="C842" s="28"/>
      <c r="D842" s="29"/>
      <c r="E842" s="29"/>
      <c r="F842" s="28"/>
      <c r="G842" s="28"/>
      <c r="H842" s="28"/>
      <c r="I842" s="28"/>
      <c r="J842" s="28"/>
      <c r="K842" s="28"/>
      <c r="L842" s="28"/>
      <c r="M842" s="28"/>
      <c r="N842" s="28"/>
      <c r="O842" s="28"/>
      <c r="P842" s="28"/>
      <c r="Q842" s="28"/>
      <c r="R842" s="28"/>
      <c r="S842" s="28"/>
      <c r="T842" s="28"/>
      <c r="U842" s="7"/>
      <c r="V842" s="28"/>
      <c r="W842" s="28"/>
      <c r="X842" s="2"/>
      <c r="Y842" s="2"/>
      <c r="Z842" s="2"/>
    </row>
    <row r="843" spans="1:26" ht="19.5" customHeight="1">
      <c r="A843" s="28"/>
      <c r="B843" s="28"/>
      <c r="C843" s="28"/>
      <c r="D843" s="29"/>
      <c r="E843" s="29"/>
      <c r="F843" s="28"/>
      <c r="G843" s="28"/>
      <c r="H843" s="28"/>
      <c r="I843" s="28"/>
      <c r="J843" s="28"/>
      <c r="K843" s="28"/>
      <c r="L843" s="28"/>
      <c r="M843" s="28"/>
      <c r="N843" s="28"/>
      <c r="O843" s="28"/>
      <c r="P843" s="28"/>
      <c r="Q843" s="28"/>
      <c r="R843" s="28"/>
      <c r="S843" s="28"/>
      <c r="T843" s="28"/>
      <c r="U843" s="7"/>
      <c r="V843" s="28"/>
      <c r="W843" s="28"/>
      <c r="X843" s="2"/>
      <c r="Y843" s="2"/>
      <c r="Z843" s="2"/>
    </row>
    <row r="844" spans="1:26" ht="19.5" customHeight="1">
      <c r="A844" s="28"/>
      <c r="B844" s="28"/>
      <c r="C844" s="28"/>
      <c r="D844" s="29"/>
      <c r="E844" s="29"/>
      <c r="F844" s="28"/>
      <c r="G844" s="28"/>
      <c r="H844" s="28"/>
      <c r="I844" s="28"/>
      <c r="J844" s="28"/>
      <c r="K844" s="28"/>
      <c r="L844" s="28"/>
      <c r="M844" s="28"/>
      <c r="N844" s="28"/>
      <c r="O844" s="28"/>
      <c r="P844" s="28"/>
      <c r="Q844" s="28"/>
      <c r="R844" s="28"/>
      <c r="S844" s="28"/>
      <c r="T844" s="28"/>
      <c r="U844" s="7"/>
      <c r="V844" s="28"/>
      <c r="W844" s="28"/>
      <c r="X844" s="2"/>
      <c r="Y844" s="2"/>
      <c r="Z844" s="2"/>
    </row>
    <row r="845" spans="1:26" ht="19.5" customHeight="1">
      <c r="A845" s="28"/>
      <c r="B845" s="28"/>
      <c r="C845" s="28"/>
      <c r="D845" s="29"/>
      <c r="E845" s="29"/>
      <c r="F845" s="28"/>
      <c r="G845" s="28"/>
      <c r="H845" s="28"/>
      <c r="I845" s="28"/>
      <c r="J845" s="28"/>
      <c r="K845" s="28"/>
      <c r="L845" s="28"/>
      <c r="M845" s="28"/>
      <c r="N845" s="28"/>
      <c r="O845" s="28"/>
      <c r="P845" s="28"/>
      <c r="Q845" s="28"/>
      <c r="R845" s="28"/>
      <c r="S845" s="28"/>
      <c r="T845" s="28"/>
      <c r="U845" s="7"/>
      <c r="V845" s="28"/>
      <c r="W845" s="28"/>
      <c r="X845" s="2"/>
      <c r="Y845" s="2"/>
      <c r="Z845" s="2"/>
    </row>
    <row r="846" spans="1:26" ht="19.5" customHeight="1">
      <c r="A846" s="28"/>
      <c r="B846" s="28"/>
      <c r="C846" s="28"/>
      <c r="D846" s="29"/>
      <c r="E846" s="29"/>
      <c r="F846" s="28"/>
      <c r="G846" s="28"/>
      <c r="H846" s="28"/>
      <c r="I846" s="28"/>
      <c r="J846" s="28"/>
      <c r="K846" s="28"/>
      <c r="L846" s="28"/>
      <c r="M846" s="28"/>
      <c r="N846" s="28"/>
      <c r="O846" s="28"/>
      <c r="P846" s="28"/>
      <c r="Q846" s="28"/>
      <c r="R846" s="28"/>
      <c r="S846" s="28"/>
      <c r="T846" s="28"/>
      <c r="U846" s="7"/>
      <c r="V846" s="28"/>
      <c r="W846" s="28"/>
      <c r="X846" s="2"/>
      <c r="Y846" s="2"/>
      <c r="Z846" s="2"/>
    </row>
    <row r="847" spans="1:26" ht="19.5" customHeight="1">
      <c r="A847" s="28"/>
      <c r="B847" s="28"/>
      <c r="C847" s="28"/>
      <c r="D847" s="29"/>
      <c r="E847" s="29"/>
      <c r="F847" s="28"/>
      <c r="G847" s="28"/>
      <c r="H847" s="28"/>
      <c r="I847" s="28"/>
      <c r="J847" s="28"/>
      <c r="K847" s="28"/>
      <c r="L847" s="28"/>
      <c r="M847" s="28"/>
      <c r="N847" s="28"/>
      <c r="O847" s="28"/>
      <c r="P847" s="28"/>
      <c r="Q847" s="28"/>
      <c r="R847" s="28"/>
      <c r="S847" s="28"/>
      <c r="T847" s="28"/>
      <c r="U847" s="7"/>
      <c r="V847" s="28"/>
      <c r="W847" s="28"/>
      <c r="X847" s="2"/>
      <c r="Y847" s="2"/>
      <c r="Z847" s="2"/>
    </row>
    <row r="848" spans="1:26" ht="19.5" customHeight="1">
      <c r="A848" s="28"/>
      <c r="B848" s="28"/>
      <c r="C848" s="28"/>
      <c r="D848" s="29"/>
      <c r="E848" s="29"/>
      <c r="F848" s="28"/>
      <c r="G848" s="28"/>
      <c r="H848" s="28"/>
      <c r="I848" s="28"/>
      <c r="J848" s="28"/>
      <c r="K848" s="28"/>
      <c r="L848" s="28"/>
      <c r="M848" s="28"/>
      <c r="N848" s="28"/>
      <c r="O848" s="28"/>
      <c r="P848" s="28"/>
      <c r="Q848" s="28"/>
      <c r="R848" s="28"/>
      <c r="S848" s="28"/>
      <c r="T848" s="28"/>
      <c r="U848" s="7"/>
      <c r="V848" s="28"/>
      <c r="W848" s="28"/>
      <c r="X848" s="2"/>
      <c r="Y848" s="2"/>
      <c r="Z848" s="2"/>
    </row>
    <row r="849" spans="1:26" ht="19.5" customHeight="1">
      <c r="A849" s="28"/>
      <c r="B849" s="28"/>
      <c r="C849" s="28"/>
      <c r="D849" s="29"/>
      <c r="E849" s="29"/>
      <c r="F849" s="28"/>
      <c r="G849" s="28"/>
      <c r="H849" s="28"/>
      <c r="I849" s="28"/>
      <c r="J849" s="28"/>
      <c r="K849" s="28"/>
      <c r="L849" s="28"/>
      <c r="M849" s="28"/>
      <c r="N849" s="28"/>
      <c r="O849" s="28"/>
      <c r="P849" s="28"/>
      <c r="Q849" s="28"/>
      <c r="R849" s="28"/>
      <c r="S849" s="28"/>
      <c r="T849" s="28"/>
      <c r="U849" s="7"/>
      <c r="V849" s="28"/>
      <c r="W849" s="28"/>
      <c r="X849" s="2"/>
      <c r="Y849" s="2"/>
      <c r="Z849" s="2"/>
    </row>
    <row r="850" spans="1:26" ht="19.5" customHeight="1">
      <c r="A850" s="28"/>
      <c r="B850" s="28"/>
      <c r="C850" s="28"/>
      <c r="D850" s="29"/>
      <c r="E850" s="29"/>
      <c r="F850" s="28"/>
      <c r="G850" s="28"/>
      <c r="H850" s="28"/>
      <c r="I850" s="28"/>
      <c r="J850" s="28"/>
      <c r="K850" s="28"/>
      <c r="L850" s="28"/>
      <c r="M850" s="28"/>
      <c r="N850" s="28"/>
      <c r="O850" s="28"/>
      <c r="P850" s="28"/>
      <c r="Q850" s="28"/>
      <c r="R850" s="28"/>
      <c r="S850" s="28"/>
      <c r="T850" s="28"/>
      <c r="U850" s="7"/>
      <c r="V850" s="28"/>
      <c r="W850" s="28"/>
      <c r="X850" s="2"/>
      <c r="Y850" s="2"/>
      <c r="Z850" s="2"/>
    </row>
    <row r="851" spans="1:26" ht="19.5" customHeight="1">
      <c r="A851" s="28"/>
      <c r="B851" s="28"/>
      <c r="C851" s="28"/>
      <c r="D851" s="29"/>
      <c r="E851" s="29"/>
      <c r="F851" s="28"/>
      <c r="G851" s="28"/>
      <c r="H851" s="28"/>
      <c r="I851" s="28"/>
      <c r="J851" s="28"/>
      <c r="K851" s="28"/>
      <c r="L851" s="28"/>
      <c r="M851" s="28"/>
      <c r="N851" s="28"/>
      <c r="O851" s="28"/>
      <c r="P851" s="28"/>
      <c r="Q851" s="28"/>
      <c r="R851" s="28"/>
      <c r="S851" s="28"/>
      <c r="T851" s="28"/>
      <c r="U851" s="7"/>
      <c r="V851" s="28"/>
      <c r="W851" s="28"/>
      <c r="X851" s="2"/>
      <c r="Y851" s="2"/>
      <c r="Z851" s="2"/>
    </row>
    <row r="852" spans="1:26" ht="19.5" customHeight="1">
      <c r="A852" s="28"/>
      <c r="B852" s="28"/>
      <c r="C852" s="28"/>
      <c r="D852" s="29"/>
      <c r="E852" s="29"/>
      <c r="F852" s="28"/>
      <c r="G852" s="28"/>
      <c r="H852" s="28"/>
      <c r="I852" s="28"/>
      <c r="J852" s="28"/>
      <c r="K852" s="28"/>
      <c r="L852" s="28"/>
      <c r="M852" s="28"/>
      <c r="N852" s="28"/>
      <c r="O852" s="28"/>
      <c r="P852" s="28"/>
      <c r="Q852" s="28"/>
      <c r="R852" s="28"/>
      <c r="S852" s="28"/>
      <c r="T852" s="28"/>
      <c r="U852" s="7"/>
      <c r="V852" s="28"/>
      <c r="W852" s="28"/>
      <c r="X852" s="2"/>
      <c r="Y852" s="2"/>
      <c r="Z852" s="2"/>
    </row>
    <row r="853" spans="1:26" ht="19.5" customHeight="1">
      <c r="A853" s="28"/>
      <c r="B853" s="28"/>
      <c r="C853" s="28"/>
      <c r="D853" s="29"/>
      <c r="E853" s="29"/>
      <c r="F853" s="28"/>
      <c r="G853" s="28"/>
      <c r="H853" s="28"/>
      <c r="I853" s="28"/>
      <c r="J853" s="28"/>
      <c r="K853" s="28"/>
      <c r="L853" s="28"/>
      <c r="M853" s="28"/>
      <c r="N853" s="28"/>
      <c r="O853" s="28"/>
      <c r="P853" s="28"/>
      <c r="Q853" s="28"/>
      <c r="R853" s="28"/>
      <c r="S853" s="28"/>
      <c r="T853" s="28"/>
      <c r="U853" s="7"/>
      <c r="V853" s="28"/>
      <c r="W853" s="28"/>
      <c r="X853" s="2"/>
      <c r="Y853" s="2"/>
      <c r="Z853" s="2"/>
    </row>
    <row r="854" spans="1:26" ht="19.5" customHeight="1">
      <c r="A854" s="28"/>
      <c r="B854" s="28"/>
      <c r="C854" s="28"/>
      <c r="D854" s="29"/>
      <c r="E854" s="29"/>
      <c r="F854" s="28"/>
      <c r="G854" s="28"/>
      <c r="H854" s="28"/>
      <c r="I854" s="28"/>
      <c r="J854" s="28"/>
      <c r="K854" s="28"/>
      <c r="L854" s="28"/>
      <c r="M854" s="28"/>
      <c r="N854" s="28"/>
      <c r="O854" s="28"/>
      <c r="P854" s="28"/>
      <c r="Q854" s="28"/>
      <c r="R854" s="28"/>
      <c r="S854" s="28"/>
      <c r="T854" s="28"/>
      <c r="U854" s="7"/>
      <c r="V854" s="28"/>
      <c r="W854" s="28"/>
      <c r="X854" s="2"/>
      <c r="Y854" s="2"/>
      <c r="Z854" s="2"/>
    </row>
    <row r="855" spans="1:26" ht="19.5" customHeight="1">
      <c r="A855" s="28"/>
      <c r="B855" s="28"/>
      <c r="C855" s="28"/>
      <c r="D855" s="29"/>
      <c r="E855" s="29"/>
      <c r="F855" s="28"/>
      <c r="G855" s="28"/>
      <c r="H855" s="28"/>
      <c r="I855" s="28"/>
      <c r="J855" s="28"/>
      <c r="K855" s="28"/>
      <c r="L855" s="28"/>
      <c r="M855" s="28"/>
      <c r="N855" s="28"/>
      <c r="O855" s="28"/>
      <c r="P855" s="28"/>
      <c r="Q855" s="28"/>
      <c r="R855" s="28"/>
      <c r="S855" s="28"/>
      <c r="T855" s="28"/>
      <c r="U855" s="7"/>
      <c r="V855" s="28"/>
      <c r="W855" s="28"/>
      <c r="X855" s="2"/>
      <c r="Y855" s="2"/>
      <c r="Z855" s="2"/>
    </row>
    <row r="856" spans="1:26" ht="19.5" customHeight="1">
      <c r="A856" s="28"/>
      <c r="B856" s="28"/>
      <c r="C856" s="28"/>
      <c r="D856" s="29"/>
      <c r="E856" s="29"/>
      <c r="F856" s="28"/>
      <c r="G856" s="28"/>
      <c r="H856" s="28"/>
      <c r="I856" s="28"/>
      <c r="J856" s="28"/>
      <c r="K856" s="28"/>
      <c r="L856" s="28"/>
      <c r="M856" s="28"/>
      <c r="N856" s="28"/>
      <c r="O856" s="28"/>
      <c r="P856" s="28"/>
      <c r="Q856" s="28"/>
      <c r="R856" s="28"/>
      <c r="S856" s="28"/>
      <c r="T856" s="28"/>
      <c r="U856" s="7"/>
      <c r="V856" s="28"/>
      <c r="W856" s="28"/>
      <c r="X856" s="2"/>
      <c r="Y856" s="2"/>
      <c r="Z856" s="2"/>
    </row>
    <row r="857" spans="1:26" ht="19.5" customHeight="1">
      <c r="A857" s="28"/>
      <c r="B857" s="28"/>
      <c r="C857" s="28"/>
      <c r="D857" s="29"/>
      <c r="E857" s="29"/>
      <c r="F857" s="28"/>
      <c r="G857" s="28"/>
      <c r="H857" s="28"/>
      <c r="I857" s="28"/>
      <c r="J857" s="28"/>
      <c r="K857" s="28"/>
      <c r="L857" s="28"/>
      <c r="M857" s="28"/>
      <c r="N857" s="28"/>
      <c r="O857" s="28"/>
      <c r="P857" s="28"/>
      <c r="Q857" s="28"/>
      <c r="R857" s="28"/>
      <c r="S857" s="28"/>
      <c r="T857" s="28"/>
      <c r="U857" s="7"/>
      <c r="V857" s="28"/>
      <c r="W857" s="28"/>
      <c r="X857" s="2"/>
      <c r="Y857" s="2"/>
      <c r="Z857" s="2"/>
    </row>
    <row r="858" spans="1:26" ht="19.5" customHeight="1">
      <c r="A858" s="28"/>
      <c r="B858" s="28"/>
      <c r="C858" s="28"/>
      <c r="D858" s="29"/>
      <c r="E858" s="29"/>
      <c r="F858" s="28"/>
      <c r="G858" s="28"/>
      <c r="H858" s="28"/>
      <c r="I858" s="28"/>
      <c r="J858" s="28"/>
      <c r="K858" s="28"/>
      <c r="L858" s="28"/>
      <c r="M858" s="28"/>
      <c r="N858" s="28"/>
      <c r="O858" s="28"/>
      <c r="P858" s="28"/>
      <c r="Q858" s="28"/>
      <c r="R858" s="28"/>
      <c r="S858" s="28"/>
      <c r="T858" s="28"/>
      <c r="U858" s="7"/>
      <c r="V858" s="28"/>
      <c r="W858" s="28"/>
      <c r="X858" s="2"/>
      <c r="Y858" s="2"/>
      <c r="Z858" s="2"/>
    </row>
    <row r="859" spans="1:26" ht="19.5" customHeight="1">
      <c r="A859" s="28"/>
      <c r="B859" s="28"/>
      <c r="C859" s="28"/>
      <c r="D859" s="29"/>
      <c r="E859" s="29"/>
      <c r="F859" s="28"/>
      <c r="G859" s="28"/>
      <c r="H859" s="28"/>
      <c r="I859" s="28"/>
      <c r="J859" s="28"/>
      <c r="K859" s="28"/>
      <c r="L859" s="28"/>
      <c r="M859" s="28"/>
      <c r="N859" s="28"/>
      <c r="O859" s="28"/>
      <c r="P859" s="28"/>
      <c r="Q859" s="28"/>
      <c r="R859" s="28"/>
      <c r="S859" s="28"/>
      <c r="T859" s="28"/>
      <c r="U859" s="7"/>
      <c r="V859" s="28"/>
      <c r="W859" s="28"/>
      <c r="X859" s="2"/>
      <c r="Y859" s="2"/>
      <c r="Z859" s="2"/>
    </row>
    <row r="860" spans="1:26" ht="19.5" customHeight="1">
      <c r="A860" s="28"/>
      <c r="B860" s="28"/>
      <c r="C860" s="28"/>
      <c r="D860" s="29"/>
      <c r="E860" s="29"/>
      <c r="F860" s="28"/>
      <c r="G860" s="28"/>
      <c r="H860" s="28"/>
      <c r="I860" s="28"/>
      <c r="J860" s="28"/>
      <c r="K860" s="28"/>
      <c r="L860" s="28"/>
      <c r="M860" s="28"/>
      <c r="N860" s="28"/>
      <c r="O860" s="28"/>
      <c r="P860" s="28"/>
      <c r="Q860" s="28"/>
      <c r="R860" s="28"/>
      <c r="S860" s="28"/>
      <c r="T860" s="28"/>
      <c r="U860" s="7"/>
      <c r="V860" s="28"/>
      <c r="W860" s="28"/>
      <c r="X860" s="2"/>
      <c r="Y860" s="2"/>
      <c r="Z860" s="2"/>
    </row>
    <row r="861" spans="1:26" ht="19.5" customHeight="1">
      <c r="A861" s="28"/>
      <c r="B861" s="28"/>
      <c r="C861" s="28"/>
      <c r="D861" s="29"/>
      <c r="E861" s="29"/>
      <c r="F861" s="28"/>
      <c r="G861" s="28"/>
      <c r="H861" s="28"/>
      <c r="I861" s="28"/>
      <c r="J861" s="28"/>
      <c r="K861" s="28"/>
      <c r="L861" s="28"/>
      <c r="M861" s="28"/>
      <c r="N861" s="28"/>
      <c r="O861" s="28"/>
      <c r="P861" s="28"/>
      <c r="Q861" s="28"/>
      <c r="R861" s="28"/>
      <c r="S861" s="28"/>
      <c r="T861" s="28"/>
      <c r="U861" s="7"/>
      <c r="V861" s="28"/>
      <c r="W861" s="28"/>
      <c r="X861" s="2"/>
      <c r="Y861" s="2"/>
      <c r="Z861" s="2"/>
    </row>
    <row r="862" spans="1:26" ht="19.5" customHeight="1">
      <c r="A862" s="28"/>
      <c r="B862" s="28"/>
      <c r="C862" s="28"/>
      <c r="D862" s="29"/>
      <c r="E862" s="29"/>
      <c r="F862" s="28"/>
      <c r="G862" s="28"/>
      <c r="H862" s="28"/>
      <c r="I862" s="28"/>
      <c r="J862" s="28"/>
      <c r="K862" s="28"/>
      <c r="L862" s="28"/>
      <c r="M862" s="28"/>
      <c r="N862" s="28"/>
      <c r="O862" s="28"/>
      <c r="P862" s="28"/>
      <c r="Q862" s="28"/>
      <c r="R862" s="28"/>
      <c r="S862" s="28"/>
      <c r="T862" s="28"/>
      <c r="U862" s="7"/>
      <c r="V862" s="28"/>
      <c r="W862" s="28"/>
      <c r="X862" s="2"/>
      <c r="Y862" s="2"/>
      <c r="Z862" s="2"/>
    </row>
    <row r="863" spans="1:26" ht="19.5" customHeight="1">
      <c r="A863" s="28"/>
      <c r="B863" s="28"/>
      <c r="C863" s="28"/>
      <c r="D863" s="29"/>
      <c r="E863" s="29"/>
      <c r="F863" s="28"/>
      <c r="G863" s="28"/>
      <c r="H863" s="28"/>
      <c r="I863" s="28"/>
      <c r="J863" s="28"/>
      <c r="K863" s="28"/>
      <c r="L863" s="28"/>
      <c r="M863" s="28"/>
      <c r="N863" s="28"/>
      <c r="O863" s="28"/>
      <c r="P863" s="28"/>
      <c r="Q863" s="28"/>
      <c r="R863" s="28"/>
      <c r="S863" s="28"/>
      <c r="T863" s="28"/>
      <c r="U863" s="7"/>
      <c r="V863" s="28"/>
      <c r="W863" s="28"/>
      <c r="X863" s="2"/>
      <c r="Y863" s="2"/>
      <c r="Z863" s="2"/>
    </row>
    <row r="864" spans="1:26" ht="19.5" customHeight="1">
      <c r="A864" s="28"/>
      <c r="B864" s="28"/>
      <c r="C864" s="28"/>
      <c r="D864" s="29"/>
      <c r="E864" s="29"/>
      <c r="F864" s="28"/>
      <c r="G864" s="28"/>
      <c r="H864" s="28"/>
      <c r="I864" s="28"/>
      <c r="J864" s="28"/>
      <c r="K864" s="28"/>
      <c r="L864" s="28"/>
      <c r="M864" s="28"/>
      <c r="N864" s="28"/>
      <c r="O864" s="28"/>
      <c r="P864" s="28"/>
      <c r="Q864" s="28"/>
      <c r="R864" s="28"/>
      <c r="S864" s="28"/>
      <c r="T864" s="28"/>
      <c r="U864" s="7"/>
      <c r="V864" s="28"/>
      <c r="W864" s="28"/>
      <c r="X864" s="2"/>
      <c r="Y864" s="2"/>
      <c r="Z864" s="2"/>
    </row>
    <row r="865" spans="1:26" ht="19.5" customHeight="1">
      <c r="A865" s="28"/>
      <c r="B865" s="28"/>
      <c r="C865" s="28"/>
      <c r="D865" s="29"/>
      <c r="E865" s="29"/>
      <c r="F865" s="28"/>
      <c r="G865" s="28"/>
      <c r="H865" s="28"/>
      <c r="I865" s="28"/>
      <c r="J865" s="28"/>
      <c r="K865" s="28"/>
      <c r="L865" s="28"/>
      <c r="M865" s="28"/>
      <c r="N865" s="28"/>
      <c r="O865" s="28"/>
      <c r="P865" s="28"/>
      <c r="Q865" s="28"/>
      <c r="R865" s="28"/>
      <c r="S865" s="28"/>
      <c r="T865" s="28"/>
      <c r="U865" s="7"/>
      <c r="V865" s="28"/>
      <c r="W865" s="28"/>
      <c r="X865" s="2"/>
      <c r="Y865" s="2"/>
      <c r="Z865" s="2"/>
    </row>
    <row r="866" spans="1:26" ht="19.5" customHeight="1">
      <c r="A866" s="28"/>
      <c r="B866" s="28"/>
      <c r="C866" s="28"/>
      <c r="D866" s="29"/>
      <c r="E866" s="29"/>
      <c r="F866" s="28"/>
      <c r="G866" s="28"/>
      <c r="H866" s="28"/>
      <c r="I866" s="28"/>
      <c r="J866" s="28"/>
      <c r="K866" s="28"/>
      <c r="L866" s="28"/>
      <c r="M866" s="28"/>
      <c r="N866" s="28"/>
      <c r="O866" s="28"/>
      <c r="P866" s="28"/>
      <c r="Q866" s="28"/>
      <c r="R866" s="28"/>
      <c r="S866" s="28"/>
      <c r="T866" s="28"/>
      <c r="U866" s="7"/>
      <c r="V866" s="28"/>
      <c r="W866" s="28"/>
      <c r="X866" s="2"/>
      <c r="Y866" s="2"/>
      <c r="Z866" s="2"/>
    </row>
    <row r="867" spans="1:26" ht="19.5" customHeight="1">
      <c r="A867" s="28"/>
      <c r="B867" s="28"/>
      <c r="C867" s="28"/>
      <c r="D867" s="29"/>
      <c r="E867" s="29"/>
      <c r="F867" s="28"/>
      <c r="G867" s="28"/>
      <c r="H867" s="28"/>
      <c r="I867" s="28"/>
      <c r="J867" s="28"/>
      <c r="K867" s="28"/>
      <c r="L867" s="28"/>
      <c r="M867" s="28"/>
      <c r="N867" s="28"/>
      <c r="O867" s="28"/>
      <c r="P867" s="28"/>
      <c r="Q867" s="28"/>
      <c r="R867" s="28"/>
      <c r="S867" s="28"/>
      <c r="T867" s="28"/>
      <c r="U867" s="7"/>
      <c r="V867" s="28"/>
      <c r="W867" s="28"/>
      <c r="X867" s="2"/>
      <c r="Y867" s="2"/>
      <c r="Z867" s="2"/>
    </row>
    <row r="868" spans="1:26" ht="19.5" customHeight="1">
      <c r="A868" s="28"/>
      <c r="B868" s="28"/>
      <c r="C868" s="28"/>
      <c r="D868" s="29"/>
      <c r="E868" s="29"/>
      <c r="F868" s="28"/>
      <c r="G868" s="28"/>
      <c r="H868" s="28"/>
      <c r="I868" s="28"/>
      <c r="J868" s="28"/>
      <c r="K868" s="28"/>
      <c r="L868" s="28"/>
      <c r="M868" s="28"/>
      <c r="N868" s="28"/>
      <c r="O868" s="28"/>
      <c r="P868" s="28"/>
      <c r="Q868" s="28"/>
      <c r="R868" s="28"/>
      <c r="S868" s="28"/>
      <c r="T868" s="28"/>
      <c r="U868" s="7"/>
      <c r="V868" s="28"/>
      <c r="W868" s="28"/>
      <c r="X868" s="2"/>
      <c r="Y868" s="2"/>
      <c r="Z868" s="2"/>
    </row>
    <row r="869" spans="1:26" ht="19.5" customHeight="1">
      <c r="A869" s="28"/>
      <c r="B869" s="28"/>
      <c r="C869" s="28"/>
      <c r="D869" s="29"/>
      <c r="E869" s="29"/>
      <c r="F869" s="28"/>
      <c r="G869" s="28"/>
      <c r="H869" s="28"/>
      <c r="I869" s="28"/>
      <c r="J869" s="28"/>
      <c r="K869" s="28"/>
      <c r="L869" s="28"/>
      <c r="M869" s="28"/>
      <c r="N869" s="28"/>
      <c r="O869" s="28"/>
      <c r="P869" s="28"/>
      <c r="Q869" s="28"/>
      <c r="R869" s="28"/>
      <c r="S869" s="28"/>
      <c r="T869" s="28"/>
      <c r="U869" s="7"/>
      <c r="V869" s="28"/>
      <c r="W869" s="28"/>
      <c r="X869" s="2"/>
      <c r="Y869" s="2"/>
      <c r="Z869" s="2"/>
    </row>
    <row r="870" spans="1:26" ht="19.5" customHeight="1">
      <c r="A870" s="28"/>
      <c r="B870" s="28"/>
      <c r="C870" s="28"/>
      <c r="D870" s="29"/>
      <c r="E870" s="29"/>
      <c r="F870" s="28"/>
      <c r="G870" s="28"/>
      <c r="H870" s="28"/>
      <c r="I870" s="28"/>
      <c r="J870" s="28"/>
      <c r="K870" s="28"/>
      <c r="L870" s="28"/>
      <c r="M870" s="28"/>
      <c r="N870" s="28"/>
      <c r="O870" s="28"/>
      <c r="P870" s="28"/>
      <c r="Q870" s="28"/>
      <c r="R870" s="28"/>
      <c r="S870" s="28"/>
      <c r="T870" s="28"/>
      <c r="U870" s="7"/>
      <c r="V870" s="28"/>
      <c r="W870" s="28"/>
      <c r="X870" s="2"/>
      <c r="Y870" s="2"/>
      <c r="Z870" s="2"/>
    </row>
    <row r="871" spans="1:26" ht="19.5" customHeight="1">
      <c r="A871" s="28"/>
      <c r="B871" s="28"/>
      <c r="C871" s="28"/>
      <c r="D871" s="29"/>
      <c r="E871" s="29"/>
      <c r="F871" s="28"/>
      <c r="G871" s="28"/>
      <c r="H871" s="28"/>
      <c r="I871" s="28"/>
      <c r="J871" s="28"/>
      <c r="K871" s="28"/>
      <c r="L871" s="28"/>
      <c r="M871" s="28"/>
      <c r="N871" s="28"/>
      <c r="O871" s="28"/>
      <c r="P871" s="28"/>
      <c r="Q871" s="28"/>
      <c r="R871" s="28"/>
      <c r="S871" s="28"/>
      <c r="T871" s="28"/>
      <c r="U871" s="7"/>
      <c r="V871" s="28"/>
      <c r="W871" s="28"/>
      <c r="X871" s="2"/>
      <c r="Y871" s="2"/>
      <c r="Z871" s="2"/>
    </row>
    <row r="872" spans="1:26" ht="19.5" customHeight="1">
      <c r="A872" s="28"/>
      <c r="B872" s="28"/>
      <c r="C872" s="28"/>
      <c r="D872" s="29"/>
      <c r="E872" s="29"/>
      <c r="F872" s="28"/>
      <c r="G872" s="28"/>
      <c r="H872" s="28"/>
      <c r="I872" s="28"/>
      <c r="J872" s="28"/>
      <c r="K872" s="28"/>
      <c r="L872" s="28"/>
      <c r="M872" s="28"/>
      <c r="N872" s="28"/>
      <c r="O872" s="28"/>
      <c r="P872" s="28"/>
      <c r="Q872" s="28"/>
      <c r="R872" s="28"/>
      <c r="S872" s="28"/>
      <c r="T872" s="28"/>
      <c r="U872" s="7"/>
      <c r="V872" s="28"/>
      <c r="W872" s="28"/>
      <c r="X872" s="2"/>
      <c r="Y872" s="2"/>
      <c r="Z872" s="2"/>
    </row>
    <row r="873" spans="1:26" ht="19.5" customHeight="1">
      <c r="A873" s="28"/>
      <c r="B873" s="28"/>
      <c r="C873" s="28"/>
      <c r="D873" s="29"/>
      <c r="E873" s="29"/>
      <c r="F873" s="28"/>
      <c r="G873" s="28"/>
      <c r="H873" s="28"/>
      <c r="I873" s="28"/>
      <c r="J873" s="28"/>
      <c r="K873" s="28"/>
      <c r="L873" s="28"/>
      <c r="M873" s="28"/>
      <c r="N873" s="28"/>
      <c r="O873" s="28"/>
      <c r="P873" s="28"/>
      <c r="Q873" s="28"/>
      <c r="R873" s="28"/>
      <c r="S873" s="28"/>
      <c r="T873" s="28"/>
      <c r="U873" s="7"/>
      <c r="V873" s="28"/>
      <c r="W873" s="28"/>
      <c r="X873" s="2"/>
      <c r="Y873" s="2"/>
      <c r="Z873" s="2"/>
    </row>
    <row r="874" spans="1:26" ht="19.5" customHeight="1">
      <c r="A874" s="28"/>
      <c r="B874" s="28"/>
      <c r="C874" s="28"/>
      <c r="D874" s="29"/>
      <c r="E874" s="29"/>
      <c r="F874" s="28"/>
      <c r="G874" s="28"/>
      <c r="H874" s="28"/>
      <c r="I874" s="28"/>
      <c r="J874" s="28"/>
      <c r="K874" s="28"/>
      <c r="L874" s="28"/>
      <c r="M874" s="28"/>
      <c r="N874" s="28"/>
      <c r="O874" s="28"/>
      <c r="P874" s="28"/>
      <c r="Q874" s="28"/>
      <c r="R874" s="28"/>
      <c r="S874" s="28"/>
      <c r="T874" s="28"/>
      <c r="U874" s="7"/>
      <c r="V874" s="28"/>
      <c r="W874" s="28"/>
      <c r="X874" s="2"/>
      <c r="Y874" s="2"/>
      <c r="Z874" s="2"/>
    </row>
    <row r="875" spans="1:26" ht="19.5" customHeight="1">
      <c r="A875" s="28"/>
      <c r="B875" s="28"/>
      <c r="C875" s="28"/>
      <c r="D875" s="29"/>
      <c r="E875" s="29"/>
      <c r="F875" s="28"/>
      <c r="G875" s="28"/>
      <c r="H875" s="28"/>
      <c r="I875" s="28"/>
      <c r="J875" s="28"/>
      <c r="K875" s="28"/>
      <c r="L875" s="28"/>
      <c r="M875" s="28"/>
      <c r="N875" s="28"/>
      <c r="O875" s="28"/>
      <c r="P875" s="28"/>
      <c r="Q875" s="28"/>
      <c r="R875" s="28"/>
      <c r="S875" s="28"/>
      <c r="T875" s="28"/>
      <c r="U875" s="7"/>
      <c r="V875" s="28"/>
      <c r="W875" s="28"/>
      <c r="X875" s="2"/>
      <c r="Y875" s="2"/>
      <c r="Z875" s="2"/>
    </row>
    <row r="876" spans="1:26" ht="19.5" customHeight="1">
      <c r="A876" s="28"/>
      <c r="B876" s="28"/>
      <c r="C876" s="28"/>
      <c r="D876" s="29"/>
      <c r="E876" s="29"/>
      <c r="F876" s="28"/>
      <c r="G876" s="28"/>
      <c r="H876" s="28"/>
      <c r="I876" s="28"/>
      <c r="J876" s="28"/>
      <c r="K876" s="28"/>
      <c r="L876" s="28"/>
      <c r="M876" s="28"/>
      <c r="N876" s="28"/>
      <c r="O876" s="28"/>
      <c r="P876" s="28"/>
      <c r="Q876" s="28"/>
      <c r="R876" s="28"/>
      <c r="S876" s="28"/>
      <c r="T876" s="28"/>
      <c r="U876" s="7"/>
      <c r="V876" s="28"/>
      <c r="W876" s="28"/>
      <c r="X876" s="2"/>
      <c r="Y876" s="2"/>
      <c r="Z876" s="2"/>
    </row>
    <row r="877" spans="1:26" ht="19.5" customHeight="1">
      <c r="A877" s="28"/>
      <c r="B877" s="28"/>
      <c r="C877" s="28"/>
      <c r="D877" s="29"/>
      <c r="E877" s="29"/>
      <c r="F877" s="28"/>
      <c r="G877" s="28"/>
      <c r="H877" s="28"/>
      <c r="I877" s="28"/>
      <c r="J877" s="28"/>
      <c r="K877" s="28"/>
      <c r="L877" s="28"/>
      <c r="M877" s="28"/>
      <c r="N877" s="28"/>
      <c r="O877" s="28"/>
      <c r="P877" s="28"/>
      <c r="Q877" s="28"/>
      <c r="R877" s="28"/>
      <c r="S877" s="28"/>
      <c r="T877" s="28"/>
      <c r="U877" s="7"/>
      <c r="V877" s="28"/>
      <c r="W877" s="28"/>
      <c r="X877" s="2"/>
      <c r="Y877" s="2"/>
      <c r="Z877" s="2"/>
    </row>
    <row r="878" spans="1:26" ht="19.5" customHeight="1">
      <c r="A878" s="28"/>
      <c r="B878" s="28"/>
      <c r="C878" s="28"/>
      <c r="D878" s="29"/>
      <c r="E878" s="29"/>
      <c r="F878" s="28"/>
      <c r="G878" s="28"/>
      <c r="H878" s="28"/>
      <c r="I878" s="28"/>
      <c r="J878" s="28"/>
      <c r="K878" s="28"/>
      <c r="L878" s="28"/>
      <c r="M878" s="28"/>
      <c r="N878" s="28"/>
      <c r="O878" s="28"/>
      <c r="P878" s="28"/>
      <c r="Q878" s="28"/>
      <c r="R878" s="28"/>
      <c r="S878" s="28"/>
      <c r="T878" s="28"/>
      <c r="U878" s="7"/>
      <c r="V878" s="28"/>
      <c r="W878" s="28"/>
      <c r="X878" s="2"/>
      <c r="Y878" s="2"/>
      <c r="Z878" s="2"/>
    </row>
    <row r="879" spans="1:26" ht="19.5" customHeight="1">
      <c r="A879" s="28"/>
      <c r="B879" s="28"/>
      <c r="C879" s="28"/>
      <c r="D879" s="29"/>
      <c r="E879" s="29"/>
      <c r="F879" s="28"/>
      <c r="G879" s="28"/>
      <c r="H879" s="28"/>
      <c r="I879" s="28"/>
      <c r="J879" s="28"/>
      <c r="K879" s="28"/>
      <c r="L879" s="28"/>
      <c r="M879" s="28"/>
      <c r="N879" s="28"/>
      <c r="O879" s="28"/>
      <c r="P879" s="28"/>
      <c r="Q879" s="28"/>
      <c r="R879" s="28"/>
      <c r="S879" s="28"/>
      <c r="T879" s="28"/>
      <c r="U879" s="7"/>
      <c r="V879" s="28"/>
      <c r="W879" s="28"/>
      <c r="X879" s="2"/>
      <c r="Y879" s="2"/>
      <c r="Z879" s="2"/>
    </row>
    <row r="880" spans="1:26" ht="19.5" customHeight="1">
      <c r="A880" s="28"/>
      <c r="B880" s="28"/>
      <c r="C880" s="28"/>
      <c r="D880" s="29"/>
      <c r="E880" s="29"/>
      <c r="F880" s="28"/>
      <c r="G880" s="28"/>
      <c r="H880" s="28"/>
      <c r="I880" s="28"/>
      <c r="J880" s="28"/>
      <c r="K880" s="28"/>
      <c r="L880" s="28"/>
      <c r="M880" s="28"/>
      <c r="N880" s="28"/>
      <c r="O880" s="28"/>
      <c r="P880" s="28"/>
      <c r="Q880" s="28"/>
      <c r="R880" s="28"/>
      <c r="S880" s="28"/>
      <c r="T880" s="28"/>
      <c r="U880" s="7"/>
      <c r="V880" s="28"/>
      <c r="W880" s="28"/>
      <c r="X880" s="2"/>
      <c r="Y880" s="2"/>
      <c r="Z880" s="2"/>
    </row>
    <row r="881" spans="1:26" ht="19.5" customHeight="1">
      <c r="A881" s="28"/>
      <c r="B881" s="28"/>
      <c r="C881" s="28"/>
      <c r="D881" s="29"/>
      <c r="E881" s="29"/>
      <c r="F881" s="28"/>
      <c r="G881" s="28"/>
      <c r="H881" s="28"/>
      <c r="I881" s="28"/>
      <c r="J881" s="28"/>
      <c r="K881" s="28"/>
      <c r="L881" s="28"/>
      <c r="M881" s="28"/>
      <c r="N881" s="28"/>
      <c r="O881" s="28"/>
      <c r="P881" s="28"/>
      <c r="Q881" s="28"/>
      <c r="R881" s="28"/>
      <c r="S881" s="28"/>
      <c r="T881" s="28"/>
      <c r="U881" s="7"/>
      <c r="V881" s="28"/>
      <c r="W881" s="28"/>
      <c r="X881" s="2"/>
      <c r="Y881" s="2"/>
      <c r="Z881" s="2"/>
    </row>
    <row r="882" spans="1:26" ht="19.5" customHeight="1">
      <c r="A882" s="28"/>
      <c r="B882" s="28"/>
      <c r="C882" s="28"/>
      <c r="D882" s="29"/>
      <c r="E882" s="29"/>
      <c r="F882" s="28"/>
      <c r="G882" s="28"/>
      <c r="H882" s="28"/>
      <c r="I882" s="28"/>
      <c r="J882" s="28"/>
      <c r="K882" s="28"/>
      <c r="L882" s="28"/>
      <c r="M882" s="28"/>
      <c r="N882" s="28"/>
      <c r="O882" s="28"/>
      <c r="P882" s="28"/>
      <c r="Q882" s="28"/>
      <c r="R882" s="28"/>
      <c r="S882" s="28"/>
      <c r="T882" s="28"/>
      <c r="U882" s="7"/>
      <c r="V882" s="28"/>
      <c r="W882" s="28"/>
      <c r="X882" s="2"/>
      <c r="Y882" s="2"/>
      <c r="Z882" s="2"/>
    </row>
    <row r="883" spans="1:26" ht="19.5" customHeight="1">
      <c r="A883" s="28"/>
      <c r="B883" s="28"/>
      <c r="C883" s="28"/>
      <c r="D883" s="29"/>
      <c r="E883" s="29"/>
      <c r="F883" s="28"/>
      <c r="G883" s="28"/>
      <c r="H883" s="28"/>
      <c r="I883" s="28"/>
      <c r="J883" s="28"/>
      <c r="K883" s="28"/>
      <c r="L883" s="28"/>
      <c r="M883" s="28"/>
      <c r="N883" s="28"/>
      <c r="O883" s="28"/>
      <c r="P883" s="28"/>
      <c r="Q883" s="28"/>
      <c r="R883" s="28"/>
      <c r="S883" s="28"/>
      <c r="T883" s="28"/>
      <c r="U883" s="7"/>
      <c r="V883" s="28"/>
      <c r="W883" s="28"/>
      <c r="X883" s="2"/>
      <c r="Y883" s="2"/>
      <c r="Z883" s="2"/>
    </row>
    <row r="884" spans="1:26" ht="19.5" customHeight="1">
      <c r="A884" s="28"/>
      <c r="B884" s="28"/>
      <c r="C884" s="28"/>
      <c r="D884" s="29"/>
      <c r="E884" s="29"/>
      <c r="F884" s="28"/>
      <c r="G884" s="28"/>
      <c r="H884" s="28"/>
      <c r="I884" s="28"/>
      <c r="J884" s="28"/>
      <c r="K884" s="28"/>
      <c r="L884" s="28"/>
      <c r="M884" s="28"/>
      <c r="N884" s="28"/>
      <c r="O884" s="28"/>
      <c r="P884" s="28"/>
      <c r="Q884" s="28"/>
      <c r="R884" s="28"/>
      <c r="S884" s="28"/>
      <c r="T884" s="28"/>
      <c r="U884" s="7"/>
      <c r="V884" s="28"/>
      <c r="W884" s="28"/>
      <c r="X884" s="2"/>
      <c r="Y884" s="2"/>
      <c r="Z884" s="2"/>
    </row>
    <row r="885" spans="1:26" ht="19.5" customHeight="1">
      <c r="A885" s="28"/>
      <c r="B885" s="28"/>
      <c r="C885" s="28"/>
      <c r="D885" s="29"/>
      <c r="E885" s="29"/>
      <c r="F885" s="28"/>
      <c r="G885" s="28"/>
      <c r="H885" s="28"/>
      <c r="I885" s="28"/>
      <c r="J885" s="28"/>
      <c r="K885" s="28"/>
      <c r="L885" s="28"/>
      <c r="M885" s="28"/>
      <c r="N885" s="28"/>
      <c r="O885" s="28"/>
      <c r="P885" s="28"/>
      <c r="Q885" s="28"/>
      <c r="R885" s="28"/>
      <c r="S885" s="28"/>
      <c r="T885" s="28"/>
      <c r="U885" s="7"/>
      <c r="V885" s="28"/>
      <c r="W885" s="28"/>
      <c r="X885" s="2"/>
      <c r="Y885" s="2"/>
      <c r="Z885" s="2"/>
    </row>
    <row r="886" spans="1:26" ht="19.5" customHeight="1">
      <c r="A886" s="28"/>
      <c r="B886" s="28"/>
      <c r="C886" s="28"/>
      <c r="D886" s="29"/>
      <c r="E886" s="29"/>
      <c r="F886" s="28"/>
      <c r="G886" s="28"/>
      <c r="H886" s="28"/>
      <c r="I886" s="28"/>
      <c r="J886" s="28"/>
      <c r="K886" s="28"/>
      <c r="L886" s="28"/>
      <c r="M886" s="28"/>
      <c r="N886" s="28"/>
      <c r="O886" s="28"/>
      <c r="P886" s="28"/>
      <c r="Q886" s="28"/>
      <c r="R886" s="28"/>
      <c r="S886" s="28"/>
      <c r="T886" s="28"/>
      <c r="U886" s="7"/>
      <c r="V886" s="28"/>
      <c r="W886" s="28"/>
      <c r="X886" s="2"/>
      <c r="Y886" s="2"/>
      <c r="Z886" s="2"/>
    </row>
    <row r="887" spans="1:26" ht="19.5" customHeight="1">
      <c r="A887" s="28"/>
      <c r="B887" s="28"/>
      <c r="C887" s="28"/>
      <c r="D887" s="29"/>
      <c r="E887" s="29"/>
      <c r="F887" s="28"/>
      <c r="G887" s="28"/>
      <c r="H887" s="28"/>
      <c r="I887" s="28"/>
      <c r="J887" s="28"/>
      <c r="K887" s="28"/>
      <c r="L887" s="28"/>
      <c r="M887" s="28"/>
      <c r="N887" s="28"/>
      <c r="O887" s="28"/>
      <c r="P887" s="28"/>
      <c r="Q887" s="28"/>
      <c r="R887" s="28"/>
      <c r="S887" s="28"/>
      <c r="T887" s="28"/>
      <c r="U887" s="7"/>
      <c r="V887" s="28"/>
      <c r="W887" s="28"/>
      <c r="X887" s="2"/>
      <c r="Y887" s="2"/>
      <c r="Z887" s="2"/>
    </row>
    <row r="888" spans="1:26" ht="19.5" customHeight="1">
      <c r="A888" s="28"/>
      <c r="B888" s="28"/>
      <c r="C888" s="28"/>
      <c r="D888" s="29"/>
      <c r="E888" s="29"/>
      <c r="F888" s="28"/>
      <c r="G888" s="28"/>
      <c r="H888" s="28"/>
      <c r="I888" s="28"/>
      <c r="J888" s="28"/>
      <c r="K888" s="28"/>
      <c r="L888" s="28"/>
      <c r="M888" s="28"/>
      <c r="N888" s="28"/>
      <c r="O888" s="28"/>
      <c r="P888" s="28"/>
      <c r="Q888" s="28"/>
      <c r="R888" s="28"/>
      <c r="S888" s="28"/>
      <c r="T888" s="28"/>
      <c r="U888" s="7"/>
      <c r="V888" s="28"/>
      <c r="W888" s="28"/>
      <c r="X888" s="2"/>
      <c r="Y888" s="2"/>
      <c r="Z888" s="2"/>
    </row>
    <row r="889" spans="1:26" ht="19.5" customHeight="1">
      <c r="A889" s="28"/>
      <c r="B889" s="28"/>
      <c r="C889" s="28"/>
      <c r="D889" s="29"/>
      <c r="E889" s="29"/>
      <c r="F889" s="28"/>
      <c r="G889" s="28"/>
      <c r="H889" s="28"/>
      <c r="I889" s="28"/>
      <c r="J889" s="28"/>
      <c r="K889" s="28"/>
      <c r="L889" s="28"/>
      <c r="M889" s="28"/>
      <c r="N889" s="28"/>
      <c r="O889" s="28"/>
      <c r="P889" s="28"/>
      <c r="Q889" s="28"/>
      <c r="R889" s="28"/>
      <c r="S889" s="28"/>
      <c r="T889" s="28"/>
      <c r="U889" s="7"/>
      <c r="V889" s="28"/>
      <c r="W889" s="28"/>
      <c r="X889" s="2"/>
      <c r="Y889" s="2"/>
      <c r="Z889" s="2"/>
    </row>
    <row r="890" spans="1:26" ht="19.5" customHeight="1">
      <c r="A890" s="28"/>
      <c r="B890" s="28"/>
      <c r="C890" s="28"/>
      <c r="D890" s="29"/>
      <c r="E890" s="29"/>
      <c r="F890" s="28"/>
      <c r="G890" s="28"/>
      <c r="H890" s="28"/>
      <c r="I890" s="28"/>
      <c r="J890" s="28"/>
      <c r="K890" s="28"/>
      <c r="L890" s="28"/>
      <c r="M890" s="28"/>
      <c r="N890" s="28"/>
      <c r="O890" s="28"/>
      <c r="P890" s="28"/>
      <c r="Q890" s="28"/>
      <c r="R890" s="28"/>
      <c r="S890" s="28"/>
      <c r="T890" s="28"/>
      <c r="U890" s="7"/>
      <c r="V890" s="28"/>
      <c r="W890" s="28"/>
      <c r="X890" s="2"/>
      <c r="Y890" s="2"/>
      <c r="Z890" s="2"/>
    </row>
    <row r="891" spans="1:26" ht="19.5" customHeight="1">
      <c r="A891" s="28"/>
      <c r="B891" s="28"/>
      <c r="C891" s="28"/>
      <c r="D891" s="29"/>
      <c r="E891" s="29"/>
      <c r="F891" s="28"/>
      <c r="G891" s="28"/>
      <c r="H891" s="28"/>
      <c r="I891" s="28"/>
      <c r="J891" s="28"/>
      <c r="K891" s="28"/>
      <c r="L891" s="28"/>
      <c r="M891" s="28"/>
      <c r="N891" s="28"/>
      <c r="O891" s="28"/>
      <c r="P891" s="28"/>
      <c r="Q891" s="28"/>
      <c r="R891" s="28"/>
      <c r="S891" s="28"/>
      <c r="T891" s="28"/>
      <c r="U891" s="7"/>
      <c r="V891" s="28"/>
      <c r="W891" s="28"/>
      <c r="X891" s="2"/>
      <c r="Y891" s="2"/>
      <c r="Z891" s="2"/>
    </row>
    <row r="892" spans="1:26" ht="19.5" customHeight="1">
      <c r="A892" s="28"/>
      <c r="B892" s="28"/>
      <c r="C892" s="28"/>
      <c r="D892" s="29"/>
      <c r="E892" s="29"/>
      <c r="F892" s="28"/>
      <c r="G892" s="28"/>
      <c r="H892" s="28"/>
      <c r="I892" s="28"/>
      <c r="J892" s="28"/>
      <c r="K892" s="28"/>
      <c r="L892" s="28"/>
      <c r="M892" s="28"/>
      <c r="N892" s="28"/>
      <c r="O892" s="28"/>
      <c r="P892" s="28"/>
      <c r="Q892" s="28"/>
      <c r="R892" s="28"/>
      <c r="S892" s="28"/>
      <c r="T892" s="28"/>
      <c r="U892" s="7"/>
      <c r="V892" s="28"/>
      <c r="W892" s="28"/>
      <c r="X892" s="2"/>
      <c r="Y892" s="2"/>
      <c r="Z892" s="2"/>
    </row>
    <row r="893" spans="1:26" ht="19.5" customHeight="1">
      <c r="A893" s="28"/>
      <c r="B893" s="28"/>
      <c r="C893" s="28"/>
      <c r="D893" s="29"/>
      <c r="E893" s="29"/>
      <c r="F893" s="28"/>
      <c r="G893" s="28"/>
      <c r="H893" s="28"/>
      <c r="I893" s="28"/>
      <c r="J893" s="28"/>
      <c r="K893" s="28"/>
      <c r="L893" s="28"/>
      <c r="M893" s="28"/>
      <c r="N893" s="28"/>
      <c r="O893" s="28"/>
      <c r="P893" s="28"/>
      <c r="Q893" s="28"/>
      <c r="R893" s="28"/>
      <c r="S893" s="28"/>
      <c r="T893" s="28"/>
      <c r="U893" s="7"/>
      <c r="V893" s="28"/>
      <c r="W893" s="28"/>
      <c r="X893" s="2"/>
      <c r="Y893" s="2"/>
      <c r="Z893" s="2"/>
    </row>
    <row r="894" spans="1:26" ht="19.5" customHeight="1">
      <c r="A894" s="28"/>
      <c r="B894" s="28"/>
      <c r="C894" s="28"/>
      <c r="D894" s="29"/>
      <c r="E894" s="29"/>
      <c r="F894" s="28"/>
      <c r="G894" s="28"/>
      <c r="H894" s="28"/>
      <c r="I894" s="28"/>
      <c r="J894" s="28"/>
      <c r="K894" s="28"/>
      <c r="L894" s="28"/>
      <c r="M894" s="28"/>
      <c r="N894" s="28"/>
      <c r="O894" s="28"/>
      <c r="P894" s="28"/>
      <c r="Q894" s="28"/>
      <c r="R894" s="28"/>
      <c r="S894" s="28"/>
      <c r="T894" s="28"/>
      <c r="U894" s="7"/>
      <c r="V894" s="28"/>
      <c r="W894" s="28"/>
      <c r="X894" s="2"/>
      <c r="Y894" s="2"/>
      <c r="Z894" s="2"/>
    </row>
    <row r="895" spans="1:26" ht="19.5" customHeight="1">
      <c r="A895" s="28"/>
      <c r="B895" s="28"/>
      <c r="C895" s="28"/>
      <c r="D895" s="29"/>
      <c r="E895" s="29"/>
      <c r="F895" s="28"/>
      <c r="G895" s="28"/>
      <c r="H895" s="28"/>
      <c r="I895" s="28"/>
      <c r="J895" s="28"/>
      <c r="K895" s="28"/>
      <c r="L895" s="28"/>
      <c r="M895" s="28"/>
      <c r="N895" s="28"/>
      <c r="O895" s="28"/>
      <c r="P895" s="28"/>
      <c r="Q895" s="28"/>
      <c r="R895" s="28"/>
      <c r="S895" s="28"/>
      <c r="T895" s="28"/>
      <c r="U895" s="7"/>
      <c r="V895" s="28"/>
      <c r="W895" s="28"/>
      <c r="X895" s="2"/>
      <c r="Y895" s="2"/>
      <c r="Z895" s="2"/>
    </row>
    <row r="896" spans="1:26" ht="19.5" customHeight="1">
      <c r="A896" s="28"/>
      <c r="B896" s="28"/>
      <c r="C896" s="28"/>
      <c r="D896" s="29"/>
      <c r="E896" s="29"/>
      <c r="F896" s="28"/>
      <c r="G896" s="28"/>
      <c r="H896" s="28"/>
      <c r="I896" s="28"/>
      <c r="J896" s="28"/>
      <c r="K896" s="28"/>
      <c r="L896" s="28"/>
      <c r="M896" s="28"/>
      <c r="N896" s="28"/>
      <c r="O896" s="28"/>
      <c r="P896" s="28"/>
      <c r="Q896" s="28"/>
      <c r="R896" s="28"/>
      <c r="S896" s="28"/>
      <c r="T896" s="28"/>
      <c r="U896" s="7"/>
      <c r="V896" s="28"/>
      <c r="W896" s="28"/>
      <c r="X896" s="2"/>
      <c r="Y896" s="2"/>
      <c r="Z896" s="2"/>
    </row>
    <row r="897" spans="1:26" ht="19.5" customHeight="1">
      <c r="A897" s="28"/>
      <c r="B897" s="28"/>
      <c r="C897" s="28"/>
      <c r="D897" s="29"/>
      <c r="E897" s="29"/>
      <c r="F897" s="28"/>
      <c r="G897" s="28"/>
      <c r="H897" s="28"/>
      <c r="I897" s="28"/>
      <c r="J897" s="28"/>
      <c r="K897" s="28"/>
      <c r="L897" s="28"/>
      <c r="M897" s="28"/>
      <c r="N897" s="28"/>
      <c r="O897" s="28"/>
      <c r="P897" s="28"/>
      <c r="Q897" s="28"/>
      <c r="R897" s="28"/>
      <c r="S897" s="28"/>
      <c r="T897" s="28"/>
      <c r="U897" s="7"/>
      <c r="V897" s="28"/>
      <c r="W897" s="28"/>
      <c r="X897" s="2"/>
      <c r="Y897" s="2"/>
      <c r="Z897" s="2"/>
    </row>
    <row r="898" spans="1:26" ht="19.5" customHeight="1">
      <c r="A898" s="28"/>
      <c r="B898" s="28"/>
      <c r="C898" s="28"/>
      <c r="D898" s="29"/>
      <c r="E898" s="29"/>
      <c r="F898" s="28"/>
      <c r="G898" s="28"/>
      <c r="H898" s="28"/>
      <c r="I898" s="28"/>
      <c r="J898" s="28"/>
      <c r="K898" s="28"/>
      <c r="L898" s="28"/>
      <c r="M898" s="28"/>
      <c r="N898" s="28"/>
      <c r="O898" s="28"/>
      <c r="P898" s="28"/>
      <c r="Q898" s="28"/>
      <c r="R898" s="28"/>
      <c r="S898" s="28"/>
      <c r="T898" s="28"/>
      <c r="U898" s="7"/>
      <c r="V898" s="28"/>
      <c r="W898" s="28"/>
      <c r="X898" s="2"/>
      <c r="Y898" s="2"/>
      <c r="Z898" s="2"/>
    </row>
    <row r="899" spans="1:26" ht="19.5" customHeight="1">
      <c r="A899" s="28"/>
      <c r="B899" s="28"/>
      <c r="C899" s="28"/>
      <c r="D899" s="29"/>
      <c r="E899" s="29"/>
      <c r="F899" s="28"/>
      <c r="G899" s="28"/>
      <c r="H899" s="28"/>
      <c r="I899" s="28"/>
      <c r="J899" s="28"/>
      <c r="K899" s="28"/>
      <c r="L899" s="28"/>
      <c r="M899" s="28"/>
      <c r="N899" s="28"/>
      <c r="O899" s="28"/>
      <c r="P899" s="28"/>
      <c r="Q899" s="28"/>
      <c r="R899" s="28"/>
      <c r="S899" s="28"/>
      <c r="T899" s="28"/>
      <c r="U899" s="7"/>
      <c r="V899" s="28"/>
      <c r="W899" s="28"/>
      <c r="X899" s="2"/>
      <c r="Y899" s="2"/>
      <c r="Z899" s="2"/>
    </row>
    <row r="900" spans="1:26" ht="19.5" customHeight="1">
      <c r="A900" s="28"/>
      <c r="B900" s="28"/>
      <c r="C900" s="28"/>
      <c r="D900" s="29"/>
      <c r="E900" s="29"/>
      <c r="F900" s="28"/>
      <c r="G900" s="28"/>
      <c r="H900" s="28"/>
      <c r="I900" s="28"/>
      <c r="J900" s="28"/>
      <c r="K900" s="28"/>
      <c r="L900" s="28"/>
      <c r="M900" s="28"/>
      <c r="N900" s="28"/>
      <c r="O900" s="28"/>
      <c r="P900" s="28"/>
      <c r="Q900" s="28"/>
      <c r="R900" s="28"/>
      <c r="S900" s="28"/>
      <c r="T900" s="28"/>
      <c r="U900" s="7"/>
      <c r="V900" s="28"/>
      <c r="W900" s="28"/>
      <c r="X900" s="2"/>
      <c r="Y900" s="2"/>
      <c r="Z900" s="2"/>
    </row>
    <row r="901" spans="1:26" ht="19.5" customHeight="1">
      <c r="A901" s="28"/>
      <c r="B901" s="28"/>
      <c r="C901" s="28"/>
      <c r="D901" s="29"/>
      <c r="E901" s="29"/>
      <c r="F901" s="28"/>
      <c r="G901" s="28"/>
      <c r="H901" s="28"/>
      <c r="I901" s="28"/>
      <c r="J901" s="28"/>
      <c r="K901" s="28"/>
      <c r="L901" s="28"/>
      <c r="M901" s="28"/>
      <c r="N901" s="28"/>
      <c r="O901" s="28"/>
      <c r="P901" s="28"/>
      <c r="Q901" s="28"/>
      <c r="R901" s="28"/>
      <c r="S901" s="28"/>
      <c r="T901" s="28"/>
      <c r="U901" s="7"/>
      <c r="V901" s="28"/>
      <c r="W901" s="28"/>
      <c r="X901" s="2"/>
      <c r="Y901" s="2"/>
      <c r="Z901" s="2"/>
    </row>
    <row r="902" spans="1:26" ht="19.5" customHeight="1">
      <c r="A902" s="28"/>
      <c r="B902" s="28"/>
      <c r="C902" s="28"/>
      <c r="D902" s="29"/>
      <c r="E902" s="29"/>
      <c r="F902" s="28"/>
      <c r="G902" s="28"/>
      <c r="H902" s="28"/>
      <c r="I902" s="28"/>
      <c r="J902" s="28"/>
      <c r="K902" s="28"/>
      <c r="L902" s="28"/>
      <c r="M902" s="28"/>
      <c r="N902" s="28"/>
      <c r="O902" s="28"/>
      <c r="P902" s="28"/>
      <c r="Q902" s="28"/>
      <c r="R902" s="28"/>
      <c r="S902" s="28"/>
      <c r="T902" s="28"/>
      <c r="U902" s="7"/>
      <c r="V902" s="28"/>
      <c r="W902" s="28"/>
      <c r="X902" s="2"/>
      <c r="Y902" s="2"/>
      <c r="Z902" s="2"/>
    </row>
    <row r="903" spans="1:26" ht="19.5" customHeight="1">
      <c r="A903" s="28"/>
      <c r="B903" s="28"/>
      <c r="C903" s="28"/>
      <c r="D903" s="29"/>
      <c r="E903" s="29"/>
      <c r="F903" s="28"/>
      <c r="G903" s="28"/>
      <c r="H903" s="28"/>
      <c r="I903" s="28"/>
      <c r="J903" s="28"/>
      <c r="K903" s="28"/>
      <c r="L903" s="28"/>
      <c r="M903" s="28"/>
      <c r="N903" s="28"/>
      <c r="O903" s="28"/>
      <c r="P903" s="28"/>
      <c r="Q903" s="28"/>
      <c r="R903" s="28"/>
      <c r="S903" s="28"/>
      <c r="T903" s="28"/>
      <c r="U903" s="7"/>
      <c r="V903" s="28"/>
      <c r="W903" s="28"/>
      <c r="X903" s="2"/>
      <c r="Y903" s="2"/>
      <c r="Z903" s="2"/>
    </row>
    <row r="904" spans="1:26" ht="19.5" customHeight="1">
      <c r="A904" s="28"/>
      <c r="B904" s="28"/>
      <c r="C904" s="28"/>
      <c r="D904" s="29"/>
      <c r="E904" s="29"/>
      <c r="F904" s="28"/>
      <c r="G904" s="28"/>
      <c r="H904" s="28"/>
      <c r="I904" s="28"/>
      <c r="J904" s="28"/>
      <c r="K904" s="28"/>
      <c r="L904" s="28"/>
      <c r="M904" s="28"/>
      <c r="N904" s="28"/>
      <c r="O904" s="28"/>
      <c r="P904" s="28"/>
      <c r="Q904" s="28"/>
      <c r="R904" s="28"/>
      <c r="S904" s="28"/>
      <c r="T904" s="28"/>
      <c r="U904" s="7"/>
      <c r="V904" s="28"/>
      <c r="W904" s="28"/>
      <c r="X904" s="2"/>
      <c r="Y904" s="2"/>
      <c r="Z904" s="2"/>
    </row>
    <row r="905" spans="1:26" ht="19.5" customHeight="1">
      <c r="A905" s="28"/>
      <c r="B905" s="28"/>
      <c r="C905" s="28"/>
      <c r="D905" s="29"/>
      <c r="E905" s="29"/>
      <c r="F905" s="28"/>
      <c r="G905" s="28"/>
      <c r="H905" s="28"/>
      <c r="I905" s="28"/>
      <c r="J905" s="28"/>
      <c r="K905" s="28"/>
      <c r="L905" s="28"/>
      <c r="M905" s="28"/>
      <c r="N905" s="28"/>
      <c r="O905" s="28"/>
      <c r="P905" s="28"/>
      <c r="Q905" s="28"/>
      <c r="R905" s="28"/>
      <c r="S905" s="28"/>
      <c r="T905" s="28"/>
      <c r="U905" s="7"/>
      <c r="V905" s="28"/>
      <c r="W905" s="28"/>
      <c r="X905" s="2"/>
      <c r="Y905" s="2"/>
      <c r="Z905" s="2"/>
    </row>
    <row r="906" spans="1:26" ht="19.5" customHeight="1">
      <c r="A906" s="28"/>
      <c r="B906" s="28"/>
      <c r="C906" s="28"/>
      <c r="D906" s="29"/>
      <c r="E906" s="29"/>
      <c r="F906" s="28"/>
      <c r="G906" s="28"/>
      <c r="H906" s="28"/>
      <c r="I906" s="28"/>
      <c r="J906" s="28"/>
      <c r="K906" s="28"/>
      <c r="L906" s="28"/>
      <c r="M906" s="28"/>
      <c r="N906" s="28"/>
      <c r="O906" s="28"/>
      <c r="P906" s="28"/>
      <c r="Q906" s="28"/>
      <c r="R906" s="28"/>
      <c r="S906" s="28"/>
      <c r="T906" s="28"/>
      <c r="U906" s="7"/>
      <c r="V906" s="28"/>
      <c r="W906" s="28"/>
      <c r="X906" s="2"/>
      <c r="Y906" s="2"/>
      <c r="Z906" s="2"/>
    </row>
    <row r="907" spans="1:26" ht="19.5" customHeight="1">
      <c r="A907" s="28"/>
      <c r="B907" s="28"/>
      <c r="C907" s="28"/>
      <c r="D907" s="29"/>
      <c r="E907" s="29"/>
      <c r="F907" s="28"/>
      <c r="G907" s="28"/>
      <c r="H907" s="28"/>
      <c r="I907" s="28"/>
      <c r="J907" s="28"/>
      <c r="K907" s="28"/>
      <c r="L907" s="28"/>
      <c r="M907" s="28"/>
      <c r="N907" s="28"/>
      <c r="O907" s="28"/>
      <c r="P907" s="28"/>
      <c r="Q907" s="28"/>
      <c r="R907" s="28"/>
      <c r="S907" s="28"/>
      <c r="T907" s="28"/>
      <c r="U907" s="7"/>
      <c r="V907" s="28"/>
      <c r="W907" s="28"/>
      <c r="X907" s="2"/>
      <c r="Y907" s="2"/>
      <c r="Z907" s="2"/>
    </row>
    <row r="908" spans="1:26" ht="19.5" customHeight="1">
      <c r="A908" s="28"/>
      <c r="B908" s="28"/>
      <c r="C908" s="28"/>
      <c r="D908" s="29"/>
      <c r="E908" s="29"/>
      <c r="F908" s="28"/>
      <c r="G908" s="28"/>
      <c r="H908" s="28"/>
      <c r="I908" s="28"/>
      <c r="J908" s="28"/>
      <c r="K908" s="28"/>
      <c r="L908" s="28"/>
      <c r="M908" s="28"/>
      <c r="N908" s="28"/>
      <c r="O908" s="28"/>
      <c r="P908" s="28"/>
      <c r="Q908" s="28"/>
      <c r="R908" s="28"/>
      <c r="S908" s="28"/>
      <c r="T908" s="28"/>
      <c r="U908" s="7"/>
      <c r="V908" s="28"/>
      <c r="W908" s="28"/>
      <c r="X908" s="2"/>
      <c r="Y908" s="2"/>
      <c r="Z908" s="2"/>
    </row>
    <row r="909" spans="1:26" ht="19.5" customHeight="1">
      <c r="A909" s="28"/>
      <c r="B909" s="28"/>
      <c r="C909" s="28"/>
      <c r="D909" s="29"/>
      <c r="E909" s="29"/>
      <c r="F909" s="28"/>
      <c r="G909" s="28"/>
      <c r="H909" s="28"/>
      <c r="I909" s="28"/>
      <c r="J909" s="28"/>
      <c r="K909" s="28"/>
      <c r="L909" s="28"/>
      <c r="M909" s="28"/>
      <c r="N909" s="28"/>
      <c r="O909" s="28"/>
      <c r="P909" s="28"/>
      <c r="Q909" s="28"/>
      <c r="R909" s="28"/>
      <c r="S909" s="28"/>
      <c r="T909" s="28"/>
      <c r="U909" s="7"/>
      <c r="V909" s="28"/>
      <c r="W909" s="28"/>
      <c r="X909" s="2"/>
      <c r="Y909" s="2"/>
      <c r="Z909" s="2"/>
    </row>
    <row r="910" spans="1:26" ht="19.5" customHeight="1">
      <c r="A910" s="28"/>
      <c r="B910" s="28"/>
      <c r="C910" s="28"/>
      <c r="D910" s="29"/>
      <c r="E910" s="29"/>
      <c r="F910" s="28"/>
      <c r="G910" s="28"/>
      <c r="H910" s="28"/>
      <c r="I910" s="28"/>
      <c r="J910" s="28"/>
      <c r="K910" s="28"/>
      <c r="L910" s="28"/>
      <c r="M910" s="28"/>
      <c r="N910" s="28"/>
      <c r="O910" s="28"/>
      <c r="P910" s="28"/>
      <c r="Q910" s="28"/>
      <c r="R910" s="28"/>
      <c r="S910" s="28"/>
      <c r="T910" s="28"/>
      <c r="U910" s="7"/>
      <c r="V910" s="28"/>
      <c r="W910" s="28"/>
      <c r="X910" s="2"/>
      <c r="Y910" s="2"/>
      <c r="Z910" s="2"/>
    </row>
    <row r="911" spans="1:26" ht="19.5" customHeight="1">
      <c r="A911" s="28"/>
      <c r="B911" s="28"/>
      <c r="C911" s="28"/>
      <c r="D911" s="29"/>
      <c r="E911" s="29"/>
      <c r="F911" s="28"/>
      <c r="G911" s="28"/>
      <c r="H911" s="28"/>
      <c r="I911" s="28"/>
      <c r="J911" s="28"/>
      <c r="K911" s="28"/>
      <c r="L911" s="28"/>
      <c r="M911" s="28"/>
      <c r="N911" s="28"/>
      <c r="O911" s="28"/>
      <c r="P911" s="28"/>
      <c r="Q911" s="28"/>
      <c r="R911" s="28"/>
      <c r="S911" s="28"/>
      <c r="T911" s="28"/>
      <c r="U911" s="7"/>
      <c r="V911" s="28"/>
      <c r="W911" s="28"/>
      <c r="X911" s="2"/>
      <c r="Y911" s="2"/>
      <c r="Z911" s="2"/>
    </row>
    <row r="912" spans="1:26" ht="19.5" customHeight="1">
      <c r="A912" s="28"/>
      <c r="B912" s="28"/>
      <c r="C912" s="28"/>
      <c r="D912" s="29"/>
      <c r="E912" s="29"/>
      <c r="F912" s="28"/>
      <c r="G912" s="28"/>
      <c r="H912" s="28"/>
      <c r="I912" s="28"/>
      <c r="J912" s="28"/>
      <c r="K912" s="28"/>
      <c r="L912" s="28"/>
      <c r="M912" s="28"/>
      <c r="N912" s="28"/>
      <c r="O912" s="28"/>
      <c r="P912" s="28"/>
      <c r="Q912" s="28"/>
      <c r="R912" s="28"/>
      <c r="S912" s="28"/>
      <c r="T912" s="28"/>
      <c r="U912" s="7"/>
      <c r="V912" s="28"/>
      <c r="W912" s="28"/>
      <c r="X912" s="2"/>
      <c r="Y912" s="2"/>
      <c r="Z912" s="2"/>
    </row>
    <row r="913" spans="1:26" ht="19.5" customHeight="1">
      <c r="A913" s="28"/>
      <c r="B913" s="28"/>
      <c r="C913" s="28"/>
      <c r="D913" s="29"/>
      <c r="E913" s="29"/>
      <c r="F913" s="28"/>
      <c r="G913" s="28"/>
      <c r="H913" s="28"/>
      <c r="I913" s="28"/>
      <c r="J913" s="28"/>
      <c r="K913" s="28"/>
      <c r="L913" s="28"/>
      <c r="M913" s="28"/>
      <c r="N913" s="28"/>
      <c r="O913" s="28"/>
      <c r="P913" s="28"/>
      <c r="Q913" s="28"/>
      <c r="R913" s="28"/>
      <c r="S913" s="28"/>
      <c r="T913" s="28"/>
      <c r="U913" s="7"/>
      <c r="V913" s="28"/>
      <c r="W913" s="28"/>
      <c r="X913" s="2"/>
      <c r="Y913" s="2"/>
      <c r="Z913" s="2"/>
    </row>
    <row r="914" spans="1:26" ht="19.5" customHeight="1">
      <c r="A914" s="28"/>
      <c r="B914" s="28"/>
      <c r="C914" s="28"/>
      <c r="D914" s="29"/>
      <c r="E914" s="29"/>
      <c r="F914" s="28"/>
      <c r="G914" s="28"/>
      <c r="H914" s="28"/>
      <c r="I914" s="28"/>
      <c r="J914" s="28"/>
      <c r="K914" s="28"/>
      <c r="L914" s="28"/>
      <c r="M914" s="28"/>
      <c r="N914" s="28"/>
      <c r="O914" s="28"/>
      <c r="P914" s="28"/>
      <c r="Q914" s="28"/>
      <c r="R914" s="28"/>
      <c r="S914" s="28"/>
      <c r="T914" s="28"/>
      <c r="U914" s="7"/>
      <c r="V914" s="28"/>
      <c r="W914" s="28"/>
      <c r="X914" s="2"/>
      <c r="Y914" s="2"/>
      <c r="Z914" s="2"/>
    </row>
    <row r="915" spans="1:26" ht="19.5" customHeight="1">
      <c r="A915" s="28"/>
      <c r="B915" s="28"/>
      <c r="C915" s="28"/>
      <c r="D915" s="29"/>
      <c r="E915" s="29"/>
      <c r="F915" s="28"/>
      <c r="G915" s="28"/>
      <c r="H915" s="28"/>
      <c r="I915" s="28"/>
      <c r="J915" s="28"/>
      <c r="K915" s="28"/>
      <c r="L915" s="28"/>
      <c r="M915" s="28"/>
      <c r="N915" s="28"/>
      <c r="O915" s="28"/>
      <c r="P915" s="28"/>
      <c r="Q915" s="28"/>
      <c r="R915" s="28"/>
      <c r="S915" s="28"/>
      <c r="T915" s="28"/>
      <c r="U915" s="7"/>
      <c r="V915" s="28"/>
      <c r="W915" s="28"/>
      <c r="X915" s="2"/>
      <c r="Y915" s="2"/>
      <c r="Z915" s="2"/>
    </row>
    <row r="916" spans="1:26" ht="19.5" customHeight="1">
      <c r="A916" s="28"/>
      <c r="B916" s="28"/>
      <c r="C916" s="28"/>
      <c r="D916" s="29"/>
      <c r="E916" s="29"/>
      <c r="F916" s="28"/>
      <c r="G916" s="28"/>
      <c r="H916" s="28"/>
      <c r="I916" s="28"/>
      <c r="J916" s="28"/>
      <c r="K916" s="28"/>
      <c r="L916" s="28"/>
      <c r="M916" s="28"/>
      <c r="N916" s="28"/>
      <c r="O916" s="28"/>
      <c r="P916" s="28"/>
      <c r="Q916" s="28"/>
      <c r="R916" s="28"/>
      <c r="S916" s="28"/>
      <c r="T916" s="28"/>
      <c r="U916" s="7"/>
      <c r="V916" s="28"/>
      <c r="W916" s="28"/>
      <c r="X916" s="2"/>
      <c r="Y916" s="2"/>
      <c r="Z916" s="2"/>
    </row>
    <row r="917" spans="1:26" ht="19.5" customHeight="1">
      <c r="A917" s="28"/>
      <c r="B917" s="28"/>
      <c r="C917" s="28"/>
      <c r="D917" s="29"/>
      <c r="E917" s="29"/>
      <c r="F917" s="28"/>
      <c r="G917" s="28"/>
      <c r="H917" s="28"/>
      <c r="I917" s="28"/>
      <c r="J917" s="28"/>
      <c r="K917" s="28"/>
      <c r="L917" s="28"/>
      <c r="M917" s="28"/>
      <c r="N917" s="28"/>
      <c r="O917" s="28"/>
      <c r="P917" s="28"/>
      <c r="Q917" s="28"/>
      <c r="R917" s="28"/>
      <c r="S917" s="28"/>
      <c r="T917" s="28"/>
      <c r="U917" s="7"/>
      <c r="V917" s="28"/>
      <c r="W917" s="28"/>
      <c r="X917" s="2"/>
      <c r="Y917" s="2"/>
      <c r="Z917" s="2"/>
    </row>
    <row r="918" spans="1:26" ht="19.5" customHeight="1">
      <c r="A918" s="28"/>
      <c r="B918" s="28"/>
      <c r="C918" s="28"/>
      <c r="D918" s="29"/>
      <c r="E918" s="29"/>
      <c r="F918" s="28"/>
      <c r="G918" s="28"/>
      <c r="H918" s="28"/>
      <c r="I918" s="28"/>
      <c r="J918" s="28"/>
      <c r="K918" s="28"/>
      <c r="L918" s="28"/>
      <c r="M918" s="28"/>
      <c r="N918" s="28"/>
      <c r="O918" s="28"/>
      <c r="P918" s="28"/>
      <c r="Q918" s="28"/>
      <c r="R918" s="28"/>
      <c r="S918" s="28"/>
      <c r="T918" s="28"/>
      <c r="U918" s="7"/>
      <c r="V918" s="28"/>
      <c r="W918" s="28"/>
      <c r="X918" s="2"/>
      <c r="Y918" s="2"/>
      <c r="Z918" s="2"/>
    </row>
    <row r="919" spans="1:26" ht="19.5" customHeight="1">
      <c r="A919" s="28"/>
      <c r="B919" s="28"/>
      <c r="C919" s="28"/>
      <c r="D919" s="29"/>
      <c r="E919" s="29"/>
      <c r="F919" s="28"/>
      <c r="G919" s="28"/>
      <c r="H919" s="28"/>
      <c r="I919" s="28"/>
      <c r="J919" s="28"/>
      <c r="K919" s="28"/>
      <c r="L919" s="28"/>
      <c r="M919" s="28"/>
      <c r="N919" s="28"/>
      <c r="O919" s="28"/>
      <c r="P919" s="28"/>
      <c r="Q919" s="28"/>
      <c r="R919" s="28"/>
      <c r="S919" s="28"/>
      <c r="T919" s="28"/>
      <c r="U919" s="7"/>
      <c r="V919" s="28"/>
      <c r="W919" s="28"/>
      <c r="X919" s="2"/>
      <c r="Y919" s="2"/>
      <c r="Z919" s="2"/>
    </row>
  </sheetData>
  <hyperlinks>
    <hyperlink ref="P3" r:id="rId1" xr:uid="{BA6031DF-2116-4ABD-98CE-9264AAE7BD8F}"/>
    <hyperlink ref="P4" r:id="rId2" xr:uid="{83B18320-B180-4C3D-A24A-D26D106ED9E5}"/>
    <hyperlink ref="P5" r:id="rId3" xr:uid="{F52F6ED5-4C33-42C9-AF56-143C965A945A}"/>
    <hyperlink ref="P6" r:id="rId4" xr:uid="{8856EA45-F785-4C08-AB4A-082434F86A24}"/>
    <hyperlink ref="P8" r:id="rId5" xr:uid="{97ABF011-1561-4755-9022-39DFC5F73AFA}"/>
    <hyperlink ref="P9" r:id="rId6" xr:uid="{38CE4EFA-4478-48F2-9B71-32C48B318F04}"/>
    <hyperlink ref="P10" r:id="rId7" xr:uid="{82F70FD5-799D-4F7B-B9E6-09EC89356646}"/>
    <hyperlink ref="P11" r:id="rId8" xr:uid="{6C8D6002-177C-4987-B41D-15BD71034A3E}"/>
    <hyperlink ref="P12" r:id="rId9" xr:uid="{07A15626-CABA-4154-A4B1-ECA464B439FE}"/>
    <hyperlink ref="P13" r:id="rId10" xr:uid="{C263B7C9-44DA-48C9-A5B7-22CEC4A5CC36}"/>
    <hyperlink ref="P14" r:id="rId11" xr:uid="{EAA1681C-F54B-4076-A26B-539BD932B6EC}"/>
    <hyperlink ref="P16" r:id="rId12" xr:uid="{34A346E8-5856-476D-9A15-0BFEA3DB3D88}"/>
    <hyperlink ref="P17" r:id="rId13" xr:uid="{F1B4D556-A26C-4E4E-98D8-42A19A530FEF}"/>
    <hyperlink ref="P18" r:id="rId14" xr:uid="{DB296658-62A5-4437-9AFB-EF395703DC32}"/>
    <hyperlink ref="P19" r:id="rId15" xr:uid="{431DA53B-91EF-44CB-8C93-F5C30BE8D48C}"/>
    <hyperlink ref="P20" r:id="rId16" xr:uid="{09C4E039-E55D-492D-86F2-AA33A4030191}"/>
    <hyperlink ref="P21" r:id="rId17" xr:uid="{81EEB461-6FAF-4C37-9040-4772F7E5AD8F}"/>
    <hyperlink ref="P22" r:id="rId18" xr:uid="{32172D99-01DF-4FD2-A92C-F31F190AD92C}"/>
    <hyperlink ref="P23" r:id="rId19" xr:uid="{DA3C2EAB-6AEB-4786-BD49-4EA870194F91}"/>
    <hyperlink ref="P24" r:id="rId20" xr:uid="{E827793D-C9C5-462A-9720-54B0003AF48F}"/>
    <hyperlink ref="P25" r:id="rId21" xr:uid="{B470809A-0B81-4106-B41B-D02A289F8DC4}"/>
    <hyperlink ref="P26" r:id="rId22" xr:uid="{359A321C-FB06-40D4-AB07-643626C8A524}"/>
    <hyperlink ref="S26" r:id="rId23" xr:uid="{3B894833-D480-4345-8206-A7FAC808C30E}"/>
    <hyperlink ref="P27" r:id="rId24" xr:uid="{060E1046-FB00-45A9-81BF-5F34A45215E9}"/>
    <hyperlink ref="P28" r:id="rId25" xr:uid="{A3E39328-2D62-4394-977A-4C78CDC3EAB6}"/>
    <hyperlink ref="P29" r:id="rId26" xr:uid="{BFEC20BA-5190-4D28-8864-145EA905A5FD}"/>
    <hyperlink ref="P30" r:id="rId27" xr:uid="{22181FAA-53AB-468C-9F76-B996D8A3E556}"/>
    <hyperlink ref="P32" r:id="rId28" xr:uid="{FA8AA9CE-458D-47AD-A461-62D20506DB3A}"/>
    <hyperlink ref="P33" r:id="rId29" xr:uid="{FD519F29-E9F8-4DB8-9631-6C1CAB0FF313}"/>
    <hyperlink ref="P34" r:id="rId30" xr:uid="{1D0F867C-D4EC-4576-8612-304CAC223CC6}"/>
    <hyperlink ref="P35" r:id="rId31" xr:uid="{0E66B27A-9E91-4142-8B46-2849D03B2EF6}"/>
    <hyperlink ref="P36" r:id="rId32" xr:uid="{55EE6F02-034E-414B-B512-A0DD22196BE9}"/>
    <hyperlink ref="P37" r:id="rId33" xr:uid="{75F8BA3A-AB62-498A-A9BA-B08B6F003DD9}"/>
    <hyperlink ref="P38" r:id="rId34" xr:uid="{5F5E4C1F-46B2-44FA-9DE4-BD7177293490}"/>
    <hyperlink ref="P39" r:id="rId35" xr:uid="{188D0FF2-268F-4AF5-A6DC-C133FF30DCAB}"/>
    <hyperlink ref="P40" r:id="rId36" xr:uid="{D8F8E852-38BB-4D8E-90B0-B1CAB051AC1F}"/>
    <hyperlink ref="P41" r:id="rId37" xr:uid="{300B712B-CBF6-410D-A34C-37CA90695B03}"/>
    <hyperlink ref="P42" r:id="rId38" xr:uid="{39E93187-0B0B-4894-AF52-036DFEAF3632}"/>
    <hyperlink ref="P43" r:id="rId39" xr:uid="{D2A3107B-2FFF-47F9-8A5C-62560CDBBC0C}"/>
    <hyperlink ref="P44" r:id="rId40" xr:uid="{E7C05D32-50BF-46E2-85F8-9F7CABAC572C}"/>
    <hyperlink ref="P45" r:id="rId41" xr:uid="{05136BE1-FDAF-4DB2-BDE1-0F5590DDAA97}"/>
    <hyperlink ref="P46" r:id="rId42" xr:uid="{6A21544A-84DD-42AB-8A1A-66B5936883C5}"/>
    <hyperlink ref="P47" r:id="rId43" xr:uid="{0E569001-07EA-4438-9A61-D3C4B9EDF83E}"/>
    <hyperlink ref="P48" r:id="rId44" xr:uid="{1102C264-64F1-453C-B7CE-D2EA5A120E4D}"/>
    <hyperlink ref="P50" r:id="rId45" xr:uid="{91DC9D06-0610-412D-B7A9-B58F689BD126}"/>
    <hyperlink ref="P51" r:id="rId46" xr:uid="{C447D798-A753-4DCA-B09B-649C819DA25D}"/>
    <hyperlink ref="P52" r:id="rId47" xr:uid="{2F132B05-D610-4F9F-86A2-A9AC6FC4E532}"/>
    <hyperlink ref="P53" r:id="rId48" xr:uid="{975E98A0-D65F-476A-A545-4D2E48D8A41F}"/>
    <hyperlink ref="P54" r:id="rId49" xr:uid="{579EBE25-DDA1-40AF-AB7D-CD6F6D959BEC}"/>
    <hyperlink ref="P55" r:id="rId50" xr:uid="{64AE88BF-FD50-4E98-8076-BAF234DE1B45}"/>
    <hyperlink ref="P56" r:id="rId51" xr:uid="{94EA6EBF-394F-4738-857D-59778DDE2749}"/>
    <hyperlink ref="P59" r:id="rId52" xr:uid="{E75FD4AF-2A0B-4769-97EE-6F8CA25F3CB7}"/>
    <hyperlink ref="P60" r:id="rId53" xr:uid="{9AD482E5-906B-4968-BD23-D47114D8D2FF}"/>
    <hyperlink ref="P61" r:id="rId54" xr:uid="{7CF50518-B2E6-4ECB-95F8-F36708BF7F6A}"/>
    <hyperlink ref="P62" r:id="rId55" xr:uid="{AB00AE4F-0C2E-4200-9A8A-44E98AE9861E}"/>
    <hyperlink ref="P64" r:id="rId56" xr:uid="{A2907A2D-7E6B-4031-85EC-DE59F0F670EC}"/>
    <hyperlink ref="P65" r:id="rId57" xr:uid="{3C7ED295-C646-44E2-9420-C1866FDBB7D4}"/>
    <hyperlink ref="P66" r:id="rId58" xr:uid="{FB4AD372-A950-47CB-8550-C08C7F458C02}"/>
    <hyperlink ref="P69" r:id="rId59" xr:uid="{538AAF2B-E6DD-4B39-9669-8DB8EE46AD26}"/>
    <hyperlink ref="P70" r:id="rId60" xr:uid="{DFF64164-DD9A-4A01-B936-6E75D3015C13}"/>
    <hyperlink ref="P71" r:id="rId61" xr:uid="{E80B1DA3-3553-4A5E-850D-27290DA74749}"/>
    <hyperlink ref="P72" r:id="rId62" xr:uid="{20CD6E5E-CA28-424F-A974-AC5FF17DB9F7}"/>
    <hyperlink ref="P74" r:id="rId63" xr:uid="{CD2C345F-9540-4C08-BAAB-F1AA9C12BB04}"/>
    <hyperlink ref="P75" r:id="rId64" xr:uid="{198A54AF-9A85-4D7A-871D-51420BA1042F}"/>
    <hyperlink ref="P76" r:id="rId65" xr:uid="{CE1E24E4-FE30-4C8D-A09D-2CD263F4E2FD}"/>
    <hyperlink ref="P77" r:id="rId66" xr:uid="{CA40CEA8-0DFE-4FA0-B015-D89ABEBF8BE2}"/>
    <hyperlink ref="P78" r:id="rId67" xr:uid="{6F6FAE62-D433-4E24-B918-8923D3814D03}"/>
    <hyperlink ref="P79" r:id="rId68" xr:uid="{B474034A-91CE-4D13-8ED4-626ADC6AA567}"/>
    <hyperlink ref="P80" r:id="rId69" xr:uid="{3F5B74B2-892C-4DA9-AD9A-57F248444729}"/>
    <hyperlink ref="P84" r:id="rId70" xr:uid="{D85E3D6D-20E2-42E0-9ADB-39C7F39854FD}"/>
    <hyperlink ref="P93" r:id="rId71" xr:uid="{B4032D24-4992-43CB-A837-C0FBACF0721D}"/>
    <hyperlink ref="P86" r:id="rId72" xr:uid="{DBD3BFAE-4F66-44D9-A088-FB460752F185}"/>
    <hyperlink ref="P94" r:id="rId73" xr:uid="{12242007-6055-42C4-87CF-13FE9EEE8AF2}"/>
    <hyperlink ref="P81" r:id="rId74" xr:uid="{9750D0D8-26F3-4091-BFDA-8DF6E55523B9}"/>
    <hyperlink ref="P87" r:id="rId75" xr:uid="{82309F19-3823-4C23-ACD3-3DC82B89FCCC}"/>
    <hyperlink ref="P82" r:id="rId76" xr:uid="{02B86AC5-713C-4013-8303-AE3EC5B7B250}"/>
    <hyperlink ref="P95" r:id="rId77" xr:uid="{74DF771F-841F-4554-A9B9-16A6347A5F69}"/>
    <hyperlink ref="P92" r:id="rId78" xr:uid="{F6A0C208-591F-4A7E-BC1E-E5B35C828A3D}"/>
    <hyperlink ref="P90" r:id="rId79" xr:uid="{87C2090B-3FCA-4D28-ABE2-8CD929A107B8}"/>
    <hyperlink ref="P85" r:id="rId80" xr:uid="{73B715CF-A6D9-4047-8843-694D8F7B268B}"/>
    <hyperlink ref="P91" r:id="rId81" xr:uid="{B81985E7-1362-4A6B-9237-E7FA780D406E}"/>
    <hyperlink ref="P83" r:id="rId82" xr:uid="{3A5E7996-70E9-4689-A813-8DAEC7E32917}"/>
    <hyperlink ref="P89" r:id="rId83" xr:uid="{9F17E721-B203-4763-8E67-10A167873A85}"/>
    <hyperlink ref="P88" r:id="rId84" xr:uid="{B2CAA6C3-2854-4E49-988F-822C99590DA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22B36B3C1F097E4C88D447C3463D0253" ma:contentTypeVersion="3" ma:contentTypeDescription="Kurkite naują dokumentą." ma:contentTypeScope="" ma:versionID="b675deefd40902872faf934f1ad780d7">
  <xsd:schema xmlns:xsd="http://www.w3.org/2001/XMLSchema" xmlns:xs="http://www.w3.org/2001/XMLSchema" xmlns:p="http://schemas.microsoft.com/office/2006/metadata/properties" xmlns:ns2="8a119a07-09db-4cae-9ab5-b06e273bf543" targetNamespace="http://schemas.microsoft.com/office/2006/metadata/properties" ma:root="true" ma:fieldsID="5b202d3587e9c25b6ad9855b5ac5b4b8" ns2:_="">
    <xsd:import namespace="8a119a07-09db-4cae-9ab5-b06e273bf54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119a07-09db-4cae-9ab5-b06e273bf5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5609AB-9685-4726-8874-0B122DB875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119a07-09db-4cae-9ab5-b06e273bf5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FDDAA8-973E-4FE7-8F9B-27E5ED532AC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AB291E5-742C-411F-838C-68DB3B047E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Screening</vt:lpstr>
      <vt:lpstr>Final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Tatjana Vilutienė</dc:creator>
  <cp:keywords/>
  <dc:description/>
  <cp:lastModifiedBy>Tatjana Vilutienė</cp:lastModifiedBy>
  <cp:revision/>
  <dcterms:created xsi:type="dcterms:W3CDTF">2025-04-01T08:59:07Z</dcterms:created>
  <dcterms:modified xsi:type="dcterms:W3CDTF">2026-06-11T19:53:15Z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0x01010022B36B3C1F097E4C88D447C3463D0253</vt:lpwstr>
  </property>
</Properties>
</file>